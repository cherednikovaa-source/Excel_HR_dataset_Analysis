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1167" documentId="8_{1E6F348B-99C9-4E4D-B190-90CFADF3FA63}" xr6:coauthVersionLast="47" xr6:coauthVersionMax="47" xr10:uidLastSave="{4470506D-335D-4D2A-9C6D-4A5A4EB814B8}"/>
  <bookViews>
    <workbookView xWindow="-110" yWindow="-110" windowWidth="19420" windowHeight="10300" firstSheet="6" activeTab="8"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 name="Salary_by_department" sheetId="9" r:id="rId7"/>
    <sheet name="Salary_by_age" sheetId="10" r:id="rId8"/>
    <sheet name="Salary_by_experience" sheetId="11" r:id="rId9"/>
  </sheets>
  <definedNames>
    <definedName name="ExternalData_1" localSheetId="1" hidden="1">HRDataset_clean!$A$1:$N$312</definedName>
  </definedNames>
  <calcPr calcId="191029"/>
  <pivotCaches>
    <pivotCache cacheId="6" r:id="rId10"/>
    <pivotCache cacheId="9"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a="1"/>
  <c r="C5" i="8" s="1"/>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<sst xmlns="http://schemas.openxmlformats.org/spreadsheetml/2006/main" count="2888" uniqueCount="740">
  <si>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</si>
  <si>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</si>
  <si>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</si>
  <si>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</si>
  <si>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</si>
  <si>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</si>
  <si>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</si>
  <si>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</si>
  <si>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</si>
  <si>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</si>
  <si>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</si>
  <si>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</si>
  <si>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</si>
  <si>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</si>
  <si>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</si>
  <si>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</si>
  <si>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</si>
  <si>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</si>
  <si>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</si>
  <si>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</si>
  <si>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</si>
  <si>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</si>
  <si>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</si>
  <si>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</si>
  <si>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</si>
  <si>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</si>
  <si>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</si>
  <si>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</si>
  <si>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</si>
  <si>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</si>
  <si>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</si>
  <si>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</si>
  <si>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</si>
  <si>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</si>
  <si>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</si>
  <si>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</si>
  <si>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</si>
  <si>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</si>
  <si>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</si>
  <si>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</si>
  <si>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</si>
  <si>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</si>
  <si>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</si>
  <si>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</si>
  <si>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</si>
  <si>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</si>
  <si>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</si>
  <si>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</si>
  <si>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</si>
  <si>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</si>
  <si>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</si>
  <si>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</si>
  <si>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</si>
  <si>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</si>
  <si>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</si>
  <si>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</si>
  <si>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</si>
  <si>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</si>
  <si>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</si>
  <si>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</si>
  <si>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</si>
  <si>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</si>
  <si>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</si>
  <si>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</si>
  <si>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</si>
  <si>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</si>
  <si>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</si>
  <si>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</si>
  <si>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</si>
  <si>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</si>
  <si>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</si>
  <si>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</si>
  <si>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</si>
  <si>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</si>
  <si>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</si>
  <si>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</si>
  <si>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</si>
  <si>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</si>
  <si>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</si>
  <si>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</si>
  <si>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</si>
  <si>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</si>
  <si>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</si>
  <si>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</si>
  <si>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</si>
  <si>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</si>
  <si>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</si>
  <si>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</si>
  <si>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</si>
  <si>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</si>
  <si>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</si>
  <si>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</si>
  <si>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</si>
  <si>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</si>
  <si>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</si>
  <si>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</si>
  <si>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</si>
  <si>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</si>
  <si>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</si>
  <si>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</si>
  <si>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</si>
  <si>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</si>
  <si>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</si>
  <si>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</si>
  <si>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</si>
  <si>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</si>
  <si>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</si>
  <si>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</si>
  <si>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</si>
  <si>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</si>
  <si>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</si>
  <si>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</si>
  <si>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</si>
  <si>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</si>
  <si>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</si>
  <si>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</si>
  <si>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</si>
  <si>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</si>
  <si>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</si>
  <si>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</si>
  <si>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</si>
  <si>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</si>
  <si>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</si>
  <si>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</si>
  <si>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</si>
  <si>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</si>
  <si>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</si>
  <si>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</si>
  <si>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</si>
  <si>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</si>
  <si>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</si>
  <si>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</si>
  <si>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</si>
  <si>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</si>
  <si>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</si>
  <si>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</si>
  <si>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</si>
  <si>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</si>
  <si>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</si>
  <si>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</si>
  <si>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</si>
  <si>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</si>
  <si>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</si>
  <si>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</si>
  <si>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</si>
  <si>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</si>
  <si>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</si>
  <si>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</si>
  <si>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</si>
  <si>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</si>
  <si>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</si>
  <si>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</si>
  <si>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</si>
  <si>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</si>
  <si>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</si>
  <si>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</si>
  <si>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</si>
  <si>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</si>
  <si>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</si>
  <si>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</si>
  <si>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</si>
  <si>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</si>
  <si>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</si>
  <si>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</si>
  <si>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</si>
  <si>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</si>
  <si>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</si>
  <si>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</si>
  <si>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</si>
  <si>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</si>
  <si>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</si>
  <si>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</si>
  <si>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</si>
  <si>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</si>
  <si>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</si>
  <si>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</si>
  <si>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</si>
  <si>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</si>
  <si>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</si>
  <si>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</si>
  <si>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</si>
  <si>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</si>
  <si>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</si>
  <si>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</si>
  <si>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</si>
  <si>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</si>
  <si>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</si>
  <si>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</si>
  <si>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</si>
  <si>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</si>
  <si>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</si>
  <si>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</si>
  <si>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</si>
  <si>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</si>
  <si>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</si>
  <si>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</si>
  <si>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</si>
  <si>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</si>
  <si>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</si>
  <si>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</si>
  <si>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</si>
  <si>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</si>
  <si>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</si>
  <si>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</si>
  <si>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</si>
  <si>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</si>
  <si>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</si>
  <si>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</si>
  <si>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</si>
  <si>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</si>
  <si>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</si>
  <si>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</si>
  <si>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</si>
  <si>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</si>
  <si>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</si>
  <si>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</si>
  <si>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</si>
  <si>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</si>
  <si>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</si>
  <si>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</si>
  <si>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</si>
  <si>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</si>
  <si>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</si>
  <si>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</si>
  <si>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</si>
  <si>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</si>
  <si>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</si>
  <si>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</si>
  <si>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</si>
  <si>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</si>
  <si>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</si>
  <si>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</si>
  <si>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</si>
  <si>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</si>
  <si>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</si>
  <si>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</si>
  <si>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</si>
  <si>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</si>
  <si>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</si>
  <si>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</si>
  <si>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</si>
  <si>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</si>
  <si>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</si>
  <si>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</si>
  <si>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</si>
  <si>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</si>
  <si>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</si>
  <si>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</si>
  <si>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</si>
  <si>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</si>
  <si>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</si>
  <si>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</si>
  <si>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</si>
  <si>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</si>
  <si>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</si>
  <si>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</si>
  <si>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</si>
  <si>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</si>
  <si>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</si>
  <si>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</si>
  <si>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</si>
  <si>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</si>
  <si>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</si>
  <si>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</si>
  <si>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</si>
  <si>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</si>
  <si>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</si>
  <si>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</si>
  <si>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</si>
  <si>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</si>
  <si>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</si>
  <si>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</si>
  <si>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</si>
  <si>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</si>
  <si>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</si>
  <si>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</si>
  <si>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</si>
  <si>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</si>
  <si>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</si>
  <si>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</si>
  <si>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</si>
  <si>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</si>
  <si>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</si>
  <si>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</si>
  <si>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</si>
  <si>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</si>
  <si>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</si>
  <si>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</si>
  <si>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</si>
  <si>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</si>
  <si>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</si>
  <si>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</si>
  <si>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</si>
  <si>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</si>
  <si>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</si>
  <si>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</si>
  <si>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</si>
  <si>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</si>
  <si>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</si>
  <si>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</si>
  <si>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</si>
  <si>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</si>
  <si>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</si>
  <si>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</si>
  <si>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</si>
  <si>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</si>
  <si>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</si>
  <si>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</si>
  <si>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</si>
  <si>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</si>
  <si>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</si>
  <si>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</si>
  <si>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</si>
  <si>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</si>
  <si>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</si>
  <si>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</si>
  <si>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</si>
  <si>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</si>
  <si>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</si>
  <si>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</si>
  <si>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</si>
  <si>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</si>
  <si>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</si>
  <si>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</si>
  <si>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</si>
  <si>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</si>
  <si>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</si>
  <si>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</si>
  <si>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</si>
  <si>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</si>
  <si>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</si>
  <si>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</si>
  <si>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</si>
  <si>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</si>
  <si>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</si>
  <si>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</si>
  <si>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</si>
  <si>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</si>
  <si>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</si>
  <si>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</si>
  <si>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</si>
  <si>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</si>
  <si>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</si>
  <si>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</si>
  <si>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</si>
  <si>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</si>
  <si>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</si>
  <si>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</si>
  <si>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</si>
  <si>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</si>
  <si>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</si>
  <si>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</si>
  <si>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</si>
  <si>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</si>
  <si>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</si>
  <si>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</si>
  <si>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</si>
  <si>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</si>
  <si>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</si>
  <si>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</si>
  <si>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</si>
  <si>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</si>
  <si>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</si>
  <si>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</si>
  <si>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</si>
  <si>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</si>
  <si>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</si>
  <si>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</si>
  <si>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</si>
  <si>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</si>
  <si>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</si>
  <si>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</si>
  <si>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</si>
  <si>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</si>
  <si>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</si>
  <si>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</si>
  <si>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</si>
  <si>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</si>
  <si>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</si>
  <si>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</si>
  <si>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</si>
  <si>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</si>
  <si>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</si>
  <si>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</si>
  <si>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</si>
  <si>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</si>
  <si>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</si>
  <si>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</si>
  <si>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</si>
  <si>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</si>
  <si>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</si>
  <si>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</si>
  <si>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</si>
  <si>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</si>
  <si>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</si>
  <si>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</si>
  <si>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</si>
  <si>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</si>
  <si>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</si>
  <si>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</si>
  <si>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</si>
  <si>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</si>
  <si>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</si>
  <si>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</si>
  <si>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</si>
  <si>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</si>
  <si>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</si>
  <si>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</si>
  <si>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</si>
  <si>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</si>
  <si>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</si>
  <si>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</si>
  <si>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</si>
  <si>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</si>
  <si>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</si>
  <si>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</si>
  <si>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</si>
  <si>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</si>
  <si>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</si>
  <si>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</si>
  <si>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</si>
  <si>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</si>
  <si>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</si>
  <si>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</si>
  <si>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</si>
  <si>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</si>
  <si>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</si>
  <si>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</si>
  <si>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</si>
  <si>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</si>
  <si>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</si>
  <si>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</si>
  <si>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</si>
  <si>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</si>
  <si>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</si>
  <si>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</si>
  <si>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</si>
  <si>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</si>
  <si>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</si>
  <si>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</si>
  <si>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</si>
  <si>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</si>
  <si>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</si>
  <si>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</si>
  <si>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</si>
  <si>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</si>
  <si>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</si>
  <si>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</si>
  <si>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</si>
  <si>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</si>
  <si>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</si>
  <si>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</si>
  <si>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</si>
  <si>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</si>
  <si>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</si>
  <si>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</si>
  <si>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</si>
  <si>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</si>
  <si>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</si>
  <si>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</si>
  <si>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</si>
  <si>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</si>
  <si>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</si>
  <si>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</si>
  <si>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</si>
  <si>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</si>
  <si>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</si>
  <si>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</si>
  <si>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</si>
  <si>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</si>
  <si>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</si>
  <si>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</si>
  <si>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</si>
  <si>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</si>
  <si>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</si>
  <si>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</si>
  <si>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</si>
  <si>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</si>
  <si>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</si>
  <si>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</si>
  <si>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</si>
  <si>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</si>
  <si>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</si>
  <si>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</si>
  <si>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</si>
  <si>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</si>
  <si>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</si>
  <si>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</si>
  <si>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</si>
  <si>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</si>
  <si>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</si>
  <si>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</si>
  <si>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</si>
  <si>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</si>
  <si>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</si>
  <si>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</si>
  <si>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</si>
  <si>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</si>
  <si>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</si>
  <si>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</si>
  <si>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</si>
  <si>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</si>
  <si>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</si>
  <si>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</si>
  <si>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</si>
  <si>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</si>
  <si>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</si>
  <si>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</si>
  <si>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</si>
  <si>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</si>
  <si>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</si>
  <si>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</si>
  <si>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</si>
  <si>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</si>
  <si>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</si>
  <si>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</si>
  <si>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</si>
  <si>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</si>
  <si>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</si>
  <si>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</si>
  <si>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</si>
  <si>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</si>
  <si>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</si>
  <si>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</si>
  <si>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</si>
  <si>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</si>
  <si>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</si>
  <si>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</si>
  <si>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</si>
  <si>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</si>
  <si>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</si>
  <si>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</si>
  <si>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</si>
  <si>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</si>
  <si>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</si>
  <si>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</si>
  <si>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</si>
  <si>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</si>
  <si>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</si>
  <si>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</si>
  <si>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</si>
  <si>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</si>
  <si>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</si>
  <si>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</si>
  <si>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</si>
  <si>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</si>
  <si>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</si>
  <si>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</si>
  <si>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</si>
  <si>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</si>
  <si>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</si>
  <si>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</si>
  <si>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</si>
  <si>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</si>
  <si>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</si>
  <si>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</si>
  <si>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</si>
  <si>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</si>
  <si>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</si>
  <si>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</si>
  <si>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</si>
  <si>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</si>
  <si>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</si>
  <si>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</si>
  <si>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</si>
  <si>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</si>
  <si>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</si>
  <si>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</si>
  <si>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</si>
  <si>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</si>
  <si>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</si>
  <si>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</si>
  <si>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</si>
  <si>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</si>
  <si>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</si>
  <si>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</si>
  <si>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</si>
  <si>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</si>
  <si>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</si>
  <si>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</si>
  <si>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</si>
  <si>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</si>
  <si>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</si>
  <si>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</si>
  <si>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</si>
  <si>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</si>
  <si>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</si>
  <si>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</si>
  <si>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</si>
  <si>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</si>
  <si>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</si>
  <si>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</si>
  <si>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</si>
  <si>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</si>
  <si>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</si>
  <si>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</si>
  <si>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</si>
  <si>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</si>
  <si>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</si>
  <si>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</si>
  <si>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</si>
  <si>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</si>
  <si>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</si>
  <si>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</si>
  <si>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</si>
  <si>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</si>
  <si>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</si>
  <si>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</si>
  <si>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</si>
  <si>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</si>
  <si>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</si>
  <si>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</si>
  <si>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</si>
  <si>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</si>
  <si>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</si>
  <si>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</si>
  <si>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</si>
  <si>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</si>
  <si>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</si>
  <si>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</si>
  <si>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</si>
  <si>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</si>
  <si>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</si>
  <si>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</si>
  <si>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</si>
  <si>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</si>
  <si>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</si>
  <si>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</si>
  <si>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</si>
  <si>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</si>
  <si>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</si>
  <si>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</si>
  <si>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</si>
  <si>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</si>
  <si>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</si>
  <si>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</si>
  <si>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</si>
  <si>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</si>
  <si>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</si>
  <si>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</si>
  <si>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</si>
  <si>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</si>
  <si>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</si>
  <si>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</si>
  <si>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</si>
  <si>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</si>
  <si>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</si>
  <si>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</si>
  <si>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</si>
  <si>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</si>
  <si>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</si>
  <si>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</si>
  <si>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</si>
  <si>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</si>
  <si>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</si>
  <si>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</si>
  <si>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</si>
  <si>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</si>
  <si>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</si>
  <si>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</si>
  <si>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</si>
  <si>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</si>
  <si>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</si>
  <si>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</si>
  <si>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</si>
  <si>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</si>
  <si>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</si>
  <si>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</si>
  <si>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</si>
  <si>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</si>
  <si>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</si>
  <si>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</si>
  <si>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</si>
  <si>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</si>
  <si>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</si>
  <si>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</si>
  <si>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</si>
  <si>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</si>
  <si>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</si>
  <si>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</si>
  <si>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</si>
  <si>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</si>
  <si>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</si>
  <si>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</si>
  <si>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</si>
  <si>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</si>
  <si>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</si>
  <si>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</si>
  <si>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</si>
  <si>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</si>
  <si>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</si>
  <si>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</si>
  <si>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</si>
  <si>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</si>
  <si>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</si>
  <si>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</si>
  <si>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</si>
  <si>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</si>
  <si>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</si>
  <si>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</si>
  <si>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</si>
  <si>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</si>
  <si>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</si>
  <si>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</si>
  <si>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</si>
  <si>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</si>
  <si>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</si>
  <si>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</si>
  <si>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</si>
  <si>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</si>
  <si>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</si>
  <si>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</si>
  <si>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</si>
  <si>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</si>
  <si>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</si>
  <si>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</si>
  <si>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</si>
  <si>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</si>
  <si>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</si>
  <si>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</si>
  <si>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</si>
  <si>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</si>
  <si>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</si>
  <si>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</si>
  <si>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</si>
  <si>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</si>
  <si>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</si>
  <si>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</si>
  <si>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</si>
  <si>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</si>
  <si>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</si>
  <si>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</si>
  <si>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</si>
  <si>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</si>
  <si>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</si>
  <si>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Is the average salary different for men and women?</t>
  </si>
  <si>
    <t>Кількість з Position</t>
  </si>
  <si>
    <t>Which departments have the highest and lowest salaries?</t>
  </si>
  <si>
    <t>Does salary depend on age?</t>
  </si>
  <si>
    <t>Does total experience affect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</si>
</sst>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1" fontId="16" fillId="35" borderId="11" xfId="0" applyNumberFormat="1" applyFont="1" applyFill="1" applyBorder="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crosses val="autoZero"/>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[HRDataset_analysis.xlsx]Salary_by_department!Зведена таблиця1</c:name>
    <c:fmtId val="3"/>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rPr>
              <a:t>Average salary by departments</a:t>
            </a:r>
            <a:endParaRPr lang="uk-UA" b="1">
              <a:solidFill>
                <a:sysClr val="windowText" lastClr="000000"/>
              </a:solidFill>
            </a:endParaRPr>
          </a:p>
        </c:rich>
      </c:tx>
      <c:layout>
        <c:manualLayout>
          <c:xMode val="edge"/>
          <c:yMode val="edge"/>
          <c:x val="0.24800678040244969"/>
          <c:y val="2.3148148148148147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Salary_by_department!$B$3</c:f>
              <c:strCache>
                <c:ptCount val="1"/>
                <c:pt idx="0">
                  <c:v>Середнє з Salary</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Salary_by_department!$B$4:$B$10</c:f>
              <c:numCache>
                <c:formatCode>0</c:formatCode>
                <c:ptCount val="6"/>
                <c:pt idx="0">
                  <c:v>250000</c:v>
                </c:pt>
                <c:pt idx="1">
                  <c:v>97064.639999999999</c:v>
                </c:pt>
                <c:pt idx="2">
                  <c:v>94989.454545454544</c:v>
                </c:pt>
                <c:pt idx="3">
                  <c:v>71791.888888888891</c:v>
                </c:pt>
                <c:pt idx="4">
                  <c:v>69061.258064516136</c:v>
                </c:pt>
                <c:pt idx="5">
                  <c:v>59953.545454545456</c:v>
                </c:pt>
              </c:numCache>
            </c:numRef>
          </c:val>
          <c:extLst>
            <c:ext xmlns:c16="http://schemas.microsoft.com/office/drawing/2014/chart" uri="{C3380CC4-5D6E-409C-BE32-E72D297353CC}">
              <c16:uniqueId val="{00000000-072A-4E17-A90B-684B271A0D8D}"/>
            </c:ext>
          </c:extLst>
        </c:ser>
        <c:ser>
          <c:idx val="1"/>
          <c:order val="1"/>
          <c:tx>
            <c:strRef>
              <c:f>Salary_by_department!$C$3</c:f>
              <c:strCache>
                <c:ptCount val="1"/>
                <c:pt idx="0">
                  <c:v>Кількість з Position</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Salary_by_department!$C$4:$C$10</c:f>
              <c:numCache>
                <c:formatCode>General</c:formatCode>
                <c:ptCount val="6"/>
                <c:pt idx="0">
                  <c:v>1</c:v>
                </c:pt>
                <c:pt idx="1">
                  <c:v>50</c:v>
                </c:pt>
                <c:pt idx="2">
                  <c:v>11</c:v>
                </c:pt>
                <c:pt idx="3">
                  <c:v>9</c:v>
                </c:pt>
                <c:pt idx="4">
                  <c:v>31</c:v>
                </c:pt>
                <c:pt idx="5">
                  <c:v>209</c:v>
                </c:pt>
              </c:numCache>
            </c:numRef>
          </c:val>
          <c:extLst>
            <c:ext xmlns:c16="http://schemas.microsoft.com/office/drawing/2014/chart" uri="{C3380CC4-5D6E-409C-BE32-E72D297353CC}">
              <c16:uniqueId val="{00000001-072A-4E17-A90B-684B271A0D8D}"/>
            </c:ext>
          </c:extLst>
        </c:ser>
        <c:dLbls>
          <c:dLblPos val="outEnd"/>
          <c:showLegendKey val="0"/>
          <c:showVal val="1"/>
          <c:showCatName val="0"/>
          <c:showSerName val="0"/>
          <c:showPercent val="0"/>
          <c:showBubbleSize val="0"/>
        </c:dLbls>
        <c:gapWidth val="100"/>
        <c:overlap val="-24"/>
        <c:axId val="791425119"/>
        <c:axId val="791419839"/>
      </c:barChart>
      <c:catAx>
        <c:axId val="79142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19839"/>
        <c:crosses val="autoZero"/>
        <c:auto val="1"/>
        <c:lblAlgn val="ctr"/>
        <c:lblOffset val="100"/>
        <c:noMultiLvlLbl val="0"/>
      </c:catAx>
      <c:valAx>
        <c:axId val="791419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2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[HRDataset_analysis.xlsx]Salary_by_age!Зведена таблиця1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salary by age</a:t>
            </a:r>
            <a:endParaRPr lang="uk-UA"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Salary_by_age!$B$3</c:f>
              <c:strCache>
                <c:ptCount val="1"/>
                <c:pt idx="0">
                  <c:v>Підсумок</c:v>
                </c:pt>
              </c:strCache>
            </c:strRef>
          </c:tx>
          <c:spPr>
            <a:ln w="28575" cap="rnd">
              <a:solidFill>
                <a:schemeClr val="accent1"/>
              </a:solidFill>
              <a:round/>
            </a:ln>
            <a:effectLst/>
          </c:spPr>
          <c:marker>
            <c:symbol val="none"/>
          </c:marker>
          <c:cat>
            <c:strRef>
              <c:f>Salary_by_age!$A$4:$A$42</c:f>
              <c:strCache>
                <c:ptCount val="38"/>
                <c:pt idx="0">
                  <c:v>33</c:v>
                </c:pt>
                <c:pt idx="1">
                  <c:v>34</c:v>
                </c:pt>
                <c:pt idx="2">
                  <c:v>35</c:v>
                </c:pt>
                <c:pt idx="3">
                  <c:v>36</c:v>
                </c:pt>
                <c:pt idx="4">
                  <c:v>37</c:v>
                </c:pt>
                <c:pt idx="5">
                  <c:v>38</c:v>
                </c:pt>
                <c:pt idx="6">
                  <c:v>39</c:v>
                </c:pt>
                <c:pt idx="7">
                  <c:v>40</c:v>
                </c:pt>
                <c:pt idx="8">
                  <c:v>41</c:v>
                </c:pt>
                <c:pt idx="9">
                  <c:v>42</c:v>
                </c:pt>
                <c:pt idx="10">
                  <c:v>43</c:v>
                </c:pt>
                <c:pt idx="11">
                  <c:v>44</c:v>
                </c:pt>
                <c:pt idx="12">
                  <c:v>45</c:v>
                </c:pt>
                <c:pt idx="13">
                  <c:v>46</c:v>
                </c:pt>
                <c:pt idx="14">
                  <c:v>47</c:v>
                </c:pt>
                <c:pt idx="15">
                  <c:v>48</c:v>
                </c:pt>
                <c:pt idx="16">
                  <c:v>49</c:v>
                </c:pt>
                <c:pt idx="17">
                  <c:v>50</c:v>
                </c:pt>
                <c:pt idx="18">
                  <c:v>51</c:v>
                </c:pt>
                <c:pt idx="19">
                  <c:v>52</c:v>
                </c:pt>
                <c:pt idx="20">
                  <c:v>53</c:v>
                </c:pt>
                <c:pt idx="21">
                  <c:v>54</c:v>
                </c:pt>
                <c:pt idx="22">
                  <c:v>55</c:v>
                </c:pt>
                <c:pt idx="23">
                  <c:v>56</c:v>
                </c:pt>
                <c:pt idx="24">
                  <c:v>57</c:v>
                </c:pt>
                <c:pt idx="25">
                  <c:v>58</c:v>
                </c:pt>
                <c:pt idx="26">
                  <c:v>59</c:v>
                </c:pt>
                <c:pt idx="27">
                  <c:v>60</c:v>
                </c:pt>
                <c:pt idx="28">
                  <c:v>61</c:v>
                </c:pt>
                <c:pt idx="29">
                  <c:v>62</c:v>
                </c:pt>
                <c:pt idx="30">
                  <c:v>64</c:v>
                </c:pt>
                <c:pt idx="31">
                  <c:v>66</c:v>
                </c:pt>
                <c:pt idx="32">
                  <c:v>67</c:v>
                </c:pt>
                <c:pt idx="33">
                  <c:v>70</c:v>
                </c:pt>
                <c:pt idx="34">
                  <c:v>71</c:v>
                </c:pt>
                <c:pt idx="35">
                  <c:v>72</c:v>
                </c:pt>
                <c:pt idx="36">
                  <c:v>73</c:v>
                </c:pt>
                <c:pt idx="37">
                  <c:v>74</c:v>
                </c:pt>
              </c:strCache>
            </c:strRef>
          </c:cat>
          <c:val>
            <c:numRef>
              <c:f>Salary_by_age!$B$4:$B$42</c:f>
              <c:numCache>
                <c:formatCode>0</c:formatCode>
                <c:ptCount val="38"/>
                <c:pt idx="0">
                  <c:v>58740</c:v>
                </c:pt>
                <c:pt idx="1">
                  <c:v>56612.333333333336</c:v>
                </c:pt>
                <c:pt idx="2">
                  <c:v>60010</c:v>
                </c:pt>
                <c:pt idx="3">
                  <c:v>63927.6</c:v>
                </c:pt>
                <c:pt idx="4">
                  <c:v>65427.555555555555</c:v>
                </c:pt>
                <c:pt idx="5">
                  <c:v>71174.444444444438</c:v>
                </c:pt>
                <c:pt idx="6">
                  <c:v>74990</c:v>
                </c:pt>
                <c:pt idx="7">
                  <c:v>61182.214285714283</c:v>
                </c:pt>
                <c:pt idx="8">
                  <c:v>71728.399999999994</c:v>
                </c:pt>
                <c:pt idx="9">
                  <c:v>71999.952380952382</c:v>
                </c:pt>
                <c:pt idx="10">
                  <c:v>57846.25</c:v>
                </c:pt>
                <c:pt idx="11">
                  <c:v>66353.71428571429</c:v>
                </c:pt>
                <c:pt idx="12">
                  <c:v>74485.222222222219</c:v>
                </c:pt>
                <c:pt idx="13">
                  <c:v>78318.894736842107</c:v>
                </c:pt>
                <c:pt idx="14">
                  <c:v>65068.875</c:v>
                </c:pt>
                <c:pt idx="15">
                  <c:v>58371.75</c:v>
                </c:pt>
                <c:pt idx="16">
                  <c:v>63770.111111111109</c:v>
                </c:pt>
                <c:pt idx="17">
                  <c:v>64360.444444444445</c:v>
                </c:pt>
                <c:pt idx="18">
                  <c:v>56556.090909090912</c:v>
                </c:pt>
                <c:pt idx="19">
                  <c:v>75090.777777777781</c:v>
                </c:pt>
                <c:pt idx="20">
                  <c:v>83097.71428571429</c:v>
                </c:pt>
                <c:pt idx="21">
                  <c:v>75071.333333333328</c:v>
                </c:pt>
                <c:pt idx="22">
                  <c:v>70767.818181818177</c:v>
                </c:pt>
                <c:pt idx="23">
                  <c:v>66627.428571428565</c:v>
                </c:pt>
                <c:pt idx="24">
                  <c:v>64678.285714285717</c:v>
                </c:pt>
                <c:pt idx="25">
                  <c:v>55081.75</c:v>
                </c:pt>
                <c:pt idx="26">
                  <c:v>93223</c:v>
                </c:pt>
                <c:pt idx="27">
                  <c:v>62638.2</c:v>
                </c:pt>
                <c:pt idx="28">
                  <c:v>91254.399999999994</c:v>
                </c:pt>
                <c:pt idx="29">
                  <c:v>66589</c:v>
                </c:pt>
                <c:pt idx="30">
                  <c:v>59472</c:v>
                </c:pt>
                <c:pt idx="31">
                  <c:v>55878</c:v>
                </c:pt>
                <c:pt idx="32">
                  <c:v>70507</c:v>
                </c:pt>
                <c:pt idx="33">
                  <c:v>69130</c:v>
                </c:pt>
                <c:pt idx="34">
                  <c:v>155904.5</c:v>
                </c:pt>
                <c:pt idx="35">
                  <c:v>72202</c:v>
                </c:pt>
                <c:pt idx="36">
                  <c:v>69723.666666666672</c:v>
                </c:pt>
                <c:pt idx="37">
                  <c:v>59965.5</c:v>
                </c:pt>
              </c:numCache>
            </c:numRef>
          </c:val>
          <c:smooth val="0"/>
          <c:extLst>
            <c:ext xmlns:c16="http://schemas.microsoft.com/office/drawing/2014/chart" uri="{C3380CC4-5D6E-409C-BE32-E72D297353CC}">
              <c16:uniqueId val="{00000000-198E-40A1-BCCF-89FDD2FC7D79}"/>
            </c:ext>
          </c:extLst>
        </c:ser>
        <c:dLbls>
          <c:showLegendKey val="0"/>
          <c:showVal val="0"/>
          <c:showCatName val="0"/>
          <c:showSerName val="0"/>
          <c:showPercent val="0"/>
          <c:showBubbleSize val="0"/>
        </c:dLbls>
        <c:smooth val="0"/>
        <c:axId val="270980160"/>
        <c:axId val="270978240"/>
      </c:lineChart>
      <c:catAx>
        <c:axId val="27098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78240"/>
        <c:crosses val="autoZero"/>
        <c:auto val="1"/>
        <c:lblAlgn val="ctr"/>
        <c:lblOffset val="100"/>
        <c:noMultiLvlLbl val="0"/>
      </c:catAx>
      <c:valAx>
        <c:axId val="270978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8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[HRDataset_analysis.xlsx]Salary_by_experience!Зведена таблиця2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salary by experience</a:t>
            </a:r>
            <a:endParaRPr lang="uk-UA"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Salary_by_experience!$B$3</c:f>
              <c:strCache>
                <c:ptCount val="1"/>
                <c:pt idx="0">
                  <c:v>Підсумок</c:v>
                </c:pt>
              </c:strCache>
            </c:strRef>
          </c:tx>
          <c:spPr>
            <a:ln w="28575" cap="rnd">
              <a:solidFill>
                <a:schemeClr val="accent1"/>
              </a:solidFill>
              <a:round/>
            </a:ln>
            <a:effectLst/>
          </c:spPr>
          <c:marker>
            <c:symbol val="none"/>
          </c:marker>
          <c:cat>
            <c:strRef>
              <c:f>Salary_by_experience!$A$4:$A$24</c:f>
              <c:strCache>
                <c:ptCount val="2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strCache>
            </c:strRef>
          </c:cat>
          <c:val>
            <c:numRef>
              <c:f>Salary_by_experience!$B$4:$B$24</c:f>
              <c:numCache>
                <c:formatCode>0</c:formatCode>
                <c:ptCount val="20"/>
                <c:pt idx="0">
                  <c:v>70947.555555555562</c:v>
                </c:pt>
                <c:pt idx="1">
                  <c:v>69807.850000000006</c:v>
                </c:pt>
                <c:pt idx="2">
                  <c:v>73319.28571428571</c:v>
                </c:pt>
                <c:pt idx="3">
                  <c:v>70365.789473684214</c:v>
                </c:pt>
                <c:pt idx="4">
                  <c:v>57802.0625</c:v>
                </c:pt>
                <c:pt idx="5">
                  <c:v>60863.666666666664</c:v>
                </c:pt>
                <c:pt idx="6">
                  <c:v>58991.333333333336</c:v>
                </c:pt>
                <c:pt idx="7">
                  <c:v>51621.4</c:v>
                </c:pt>
                <c:pt idx="8">
                  <c:v>101509</c:v>
                </c:pt>
                <c:pt idx="9">
                  <c:v>73837.46666666666</c:v>
                </c:pt>
                <c:pt idx="10">
                  <c:v>70206.620689655174</c:v>
                </c:pt>
                <c:pt idx="11">
                  <c:v>68069.528301886792</c:v>
                </c:pt>
                <c:pt idx="12">
                  <c:v>64594.729729729726</c:v>
                </c:pt>
                <c:pt idx="13">
                  <c:v>72849.275862068971</c:v>
                </c:pt>
                <c:pt idx="14">
                  <c:v>66858.291666666672</c:v>
                </c:pt>
                <c:pt idx="15">
                  <c:v>89136.166666666672</c:v>
                </c:pt>
                <c:pt idx="16">
                  <c:v>95342.5</c:v>
                </c:pt>
                <c:pt idx="17">
                  <c:v>63995.5</c:v>
                </c:pt>
                <c:pt idx="18">
                  <c:v>47001</c:v>
                </c:pt>
                <c:pt idx="19">
                  <c:v>64397</c:v>
                </c:pt>
              </c:numCache>
            </c:numRef>
          </c:val>
          <c:smooth val="0"/>
          <c:extLst>
            <c:ext xmlns:c16="http://schemas.microsoft.com/office/drawing/2014/chart" uri="{C3380CC4-5D6E-409C-BE32-E72D297353CC}">
              <c16:uniqueId val="{00000000-E9D1-4BF3-92DC-2DB91CD373A6}"/>
            </c:ext>
          </c:extLst>
        </c:ser>
        <c:dLbls>
          <c:showLegendKey val="0"/>
          <c:showVal val="0"/>
          <c:showCatName val="0"/>
          <c:showSerName val="0"/>
          <c:showPercent val="0"/>
          <c:showBubbleSize val="0"/>
        </c:dLbls>
        <c:smooth val="0"/>
        <c:axId val="2053142096"/>
        <c:axId val="2053139216"/>
      </c:lineChart>
      <c:catAx>
        <c:axId val="20531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39216"/>
        <c:crosses val="autoZero"/>
        <c:auto val="1"/>
        <c:lblAlgn val="ctr"/>
        <c:lblOffset val="100"/>
        <c:noMultiLvlLbl val="0"/>
      </c:catAx>
      <c:valAx>
        <c:axId val="205313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4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415925</xdr:colOff>
      <xdr:row>1</xdr:row>
      <xdr:rowOff>155574</xdr:rowOff>
    </xdr:from>
    <xdr:to>
      <xdr:col>11</xdr:col>
      <xdr:colOff>111125</xdr:colOff>
      <xdr:row>16</xdr:row>
      <xdr:rowOff>171449</xdr:rowOff>
    </xdr:to>
    <xdr:graphicFrame macro="">
      <xdr:nvGraphicFramePr>
        <xdr:cNvPr id="3" name="Діаграма 2">
          <a:extLst>
            <a:ext uri="{FF2B5EF4-FFF2-40B4-BE49-F238E27FC236}">
              <a16:creationId xmlns:a16="http://schemas.microsoft.com/office/drawing/2014/main" id="{ACE1BD3D-8539-7A3A-69CD-82F7FF2CF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412750</xdr:colOff>
      <xdr:row>1</xdr:row>
      <xdr:rowOff>177800</xdr:rowOff>
    </xdr:from>
    <xdr:to>
      <xdr:col>18</xdr:col>
      <xdr:colOff>457200</xdr:colOff>
      <xdr:row>28</xdr:row>
      <xdr:rowOff>25400</xdr:rowOff>
    </xdr:to>
    <xdr:sp macro="" textlink="">
      <xdr:nvSpPr>
        <xdr:cNvPr id="4" name="TextBox 3">
          <a:extLst>
            <a:ext uri="{FF2B5EF4-FFF2-40B4-BE49-F238E27FC236}">
              <a16:creationId xmlns:a16="http://schemas.microsoft.com/office/drawing/2014/main" id="{ED7F8CDC-FFC9-A914-B0F8-B04650E91116}"/>
            </a:ext>
          </a:extLst>
        </xdr:cNvPr>
        <xdr:cNvSpPr txBox="1"/>
      </xdr:nvSpPr>
      <xdr:spPr>
        <a:xfrm>
          <a:off x="8851900" y="412750"/>
          <a:ext cx="4311650" cy="481965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 from the table</a:t>
          </a:r>
          <a:endParaRPr lang="uk-UA" sz="1100" b="1"/>
        </a:p>
        <a:p>
          <a:endParaRPr lang="uk-UA" sz="1100"/>
        </a:p>
        <a:p>
          <a:r>
            <a:rPr lang="en-US" sz="1100" b="1" u="sng"/>
            <a:t>The highest salary by a large margin from other departments is in the Executive Office (250 K)</a:t>
          </a:r>
          <a:r>
            <a:rPr lang="en-US" sz="1100" b="1" u="sng" baseline="0"/>
            <a:t> but it consists only of 1 person.</a:t>
          </a:r>
        </a:p>
        <a:p>
          <a:endParaRPr lang="en-US" sz="1100" b="1" u="sng"/>
        </a:p>
        <a:p>
          <a:r>
            <a:rPr lang="en-US" sz="1100" b="1" u="sng"/>
            <a:t>IT/IS and Software Engineering </a:t>
          </a:r>
          <a:r>
            <a:rPr lang="en-US" sz="1100"/>
            <a:t>have high average salaries (97-95 K). We can say that technical roles are one of the highest-paid areas in the company.</a:t>
          </a:r>
        </a:p>
        <a:p>
          <a:endParaRPr lang="en-US" sz="1100"/>
        </a:p>
        <a:p>
          <a:r>
            <a:rPr lang="en-US" sz="1100" b="1" u="sng"/>
            <a:t>Admin Offices and Sales </a:t>
          </a:r>
          <a:r>
            <a:rPr lang="en-US" sz="1100"/>
            <a:t>earn salaries close to average (72-69 K). Thus, the sales department is at the average salary level in the company.This could mean: either a low base salary and bonuses, or that bonuses are included in salary</a:t>
          </a:r>
          <a:r>
            <a:rPr lang="en-US" sz="1100" baseline="0"/>
            <a:t> and </a:t>
          </a:r>
          <a:r>
            <a:rPr lang="en-US" sz="1100"/>
            <a:t>the pay structure is more steady.</a:t>
          </a:r>
        </a:p>
        <a:p>
          <a:endParaRPr lang="en-US" sz="1100"/>
        </a:p>
        <a:p>
          <a:r>
            <a:rPr lang="en-US" sz="1100" b="1" u="sng"/>
            <a:t>The lowest average salaries are in the Production department - 60 K. </a:t>
          </a:r>
          <a:r>
            <a:rPr lang="en-US" sz="1100" b="0" u="none"/>
            <a:t>Production makes up the majority of the company: 209  of 311 employees (67%).</a:t>
          </a:r>
        </a:p>
        <a:p>
          <a:endParaRPr lang="en-US" sz="1100"/>
        </a:p>
        <a:p>
          <a:r>
            <a:rPr lang="en-US" sz="1100"/>
            <a:t>The total average salary for all departments is 69 K.</a:t>
          </a:r>
          <a:br>
            <a:rPr lang="en-US" sz="1100"/>
          </a:br>
          <a:br>
            <a:rPr lang="en-US" sz="1100"/>
          </a:br>
          <a:r>
            <a:rPr lang="en-US" sz="1100" b="1"/>
            <a:t>3 main business conclusions:</a:t>
          </a:r>
        </a:p>
        <a:p>
          <a:r>
            <a:rPr lang="en-US" sz="1100"/>
            <a:t>1.</a:t>
          </a:r>
          <a:r>
            <a:rPr lang="en-US" sz="1100" baseline="0"/>
            <a:t> The </a:t>
          </a:r>
          <a:r>
            <a:rPr lang="en-US" sz="1100"/>
            <a:t>company has a classic structure: high salaries in IT areas, low salaries in production, which makes up the majority of employees.</a:t>
          </a:r>
        </a:p>
        <a:p>
          <a:r>
            <a:rPr lang="en-US" sz="1100"/>
            <a:t>2. The Executive Office cannot be analyzed through one person - this is an exception.</a:t>
          </a:r>
        </a:p>
        <a:p>
          <a:r>
            <a:rPr lang="en-US" sz="1100"/>
            <a:t>3. The total average salary of the company is underestimated by a large number of employees from Production.</a:t>
          </a:r>
          <a:endParaRPr lang="uk-UA"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542925</xdr:colOff>
      <xdr:row>2</xdr:row>
      <xdr:rowOff>9525</xdr:rowOff>
    </xdr:from>
    <xdr:to>
      <xdr:col>10</xdr:col>
      <xdr:colOff>3175</xdr:colOff>
      <xdr:row>16</xdr:row>
      <xdr:rowOff>174625</xdr:rowOff>
    </xdr:to>
    <xdr:graphicFrame macro="">
      <xdr:nvGraphicFramePr>
        <xdr:cNvPr id="2" name="Діаграма 1">
          <a:extLst>
            <a:ext uri="{FF2B5EF4-FFF2-40B4-BE49-F238E27FC236}">
              <a16:creationId xmlns:a16="http://schemas.microsoft.com/office/drawing/2014/main" id="{AA5CDC43-7799-2544-5479-5AA0879A48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6350</xdr:colOff>
      <xdr:row>1</xdr:row>
      <xdr:rowOff>177800</xdr:rowOff>
    </xdr:from>
    <xdr:to>
      <xdr:col>15</xdr:col>
      <xdr:colOff>0</xdr:colOff>
      <xdr:row>14</xdr:row>
      <xdr:rowOff>50800</xdr:rowOff>
    </xdr:to>
    <xdr:sp macro="" textlink="">
      <xdr:nvSpPr>
        <xdr:cNvPr id="3" name="TextBox 2">
          <a:extLst>
            <a:ext uri="{FF2B5EF4-FFF2-40B4-BE49-F238E27FC236}">
              <a16:creationId xmlns:a16="http://schemas.microsoft.com/office/drawing/2014/main" id="{6E468899-F9F6-76B0-2370-9CACF02DD5FA}"/>
            </a:ext>
          </a:extLst>
        </xdr:cNvPr>
        <xdr:cNvSpPr txBox="1"/>
      </xdr:nvSpPr>
      <xdr:spPr>
        <a:xfrm>
          <a:off x="8083550" y="412750"/>
          <a:ext cx="2432050" cy="2266950"/>
        </a:xfrm>
        <a:prstGeom prst="rect">
          <a:avLst/>
        </a:prstGeom>
        <a:solidFill>
          <a:schemeClr val="bg2"/>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p>
        <a:p>
          <a:endParaRPr lang="en-US" sz="1100"/>
        </a:p>
        <a:p>
          <a:r>
            <a:rPr lang="en-US" sz="1100" b="1" u="sng"/>
            <a:t>There is no significant gradual increase or decrease in salary with age.</a:t>
          </a:r>
        </a:p>
        <a:p>
          <a:endParaRPr lang="en-US" sz="1100" b="1" u="sng"/>
        </a:p>
        <a:p>
          <a:r>
            <a:rPr lang="en-US" sz="1100"/>
            <a:t>There is a sharp jump at the age of 71, which suggests that there is one employee in the company at this age with a very high salary</a:t>
          </a:r>
          <a:r>
            <a:rPr lang="ru-RU" sz="1100"/>
            <a:t> (</a:t>
          </a:r>
          <a:r>
            <a:rPr lang="en-US" sz="1100"/>
            <a:t>Executive Office).If we ignore this anomaly, then in general we can say that in this company the salary does not depend on age.</a:t>
          </a:r>
          <a:endParaRPr lang="uk-UA"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561975</xdr:colOff>
      <xdr:row>2</xdr:row>
      <xdr:rowOff>9525</xdr:rowOff>
    </xdr:from>
    <xdr:to>
      <xdr:col>9</xdr:col>
      <xdr:colOff>104775</xdr:colOff>
      <xdr:row>16</xdr:row>
      <xdr:rowOff>174625</xdr:rowOff>
    </xdr:to>
    <xdr:graphicFrame macro="">
      <xdr:nvGraphicFramePr>
        <xdr:cNvPr id="2" name="Діаграма 1">
          <a:extLst>
            <a:ext uri="{FF2B5EF4-FFF2-40B4-BE49-F238E27FC236}">
              <a16:creationId xmlns:a16="http://schemas.microsoft.com/office/drawing/2014/main" id="{218404C7-283F-9C6F-52A9-96ED68659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2</xdr:row>
      <xdr:rowOff>76200</xdr:rowOff>
    </xdr:from>
    <xdr:to>
      <xdr:col>14</xdr:col>
      <xdr:colOff>596900</xdr:colOff>
      <xdr:row>17</xdr:row>
      <xdr:rowOff>31750</xdr:rowOff>
    </xdr:to>
    <xdr:sp macro="" textlink="">
      <xdr:nvSpPr>
        <xdr:cNvPr id="3" name="TextBox 2">
          <a:extLst>
            <a:ext uri="{FF2B5EF4-FFF2-40B4-BE49-F238E27FC236}">
              <a16:creationId xmlns:a16="http://schemas.microsoft.com/office/drawing/2014/main" id="{EBC87E7E-255F-EBD3-2F15-FC6BB596BB1E}"/>
            </a:ext>
          </a:extLst>
        </xdr:cNvPr>
        <xdr:cNvSpPr txBox="1"/>
      </xdr:nvSpPr>
      <xdr:spPr>
        <a:xfrm>
          <a:off x="7994650" y="495300"/>
          <a:ext cx="3035300" cy="271780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p>
        <a:p>
          <a:endParaRPr lang="en-US" sz="1100"/>
        </a:p>
        <a:p>
          <a:r>
            <a:rPr lang="en-US" sz="1100" b="0" u="none"/>
            <a:t>Salaries do not increase gradually with additional years</a:t>
          </a:r>
          <a:r>
            <a:rPr lang="en-US" sz="1100" b="0" u="none" baseline="0"/>
            <a:t> of experience</a:t>
          </a:r>
          <a:r>
            <a:rPr lang="en-US" sz="1100" b="0" u="none"/>
            <a:t>. </a:t>
          </a:r>
          <a:r>
            <a:rPr lang="en-US" sz="1100"/>
            <a:t>Regardless of experience, the average salary for most employees fluctuates within 60-80 K. </a:t>
          </a:r>
        </a:p>
        <a:p>
          <a:endParaRPr lang="en-US" sz="1100"/>
        </a:p>
        <a:p>
          <a:r>
            <a:rPr lang="en-US"/>
            <a:t>This indicates that in this company, </a:t>
          </a:r>
          <a:r>
            <a:rPr lang="en-US" b="1" u="sng"/>
            <a:t>salary levels are relatively standardized, and additional experience does not guarantee higher income. </a:t>
          </a:r>
          <a:r>
            <a:rPr lang="en-US"/>
            <a:t>Moreover, based on insights from previous pivot tables, we can conclude that </a:t>
          </a:r>
          <a:r>
            <a:rPr lang="en-US" b="1" u="sng"/>
            <a:t>salaries depend primarily on the department rather than on gender, age, or experience.</a:t>
          </a:r>
          <a:endParaRPr lang="uk-UA" sz="1100" b="1" u="sng"/>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ount="31">
        <s v="Production Technician I"/>
        <s v="Sr. DBA"/>
        <s v="Production Technician II"/>
        <s v="Software Engineer"/>
        <s v="IT Support"/>
        <s v="Data Analyst"/>
        <s v="Database Administrator"/>
        <s v="Enterprise Architect"/>
        <s v="Sr. Accountant"/>
        <s v="Production Manager"/>
        <s v="Accountant I"/>
        <s v="Area Sales Manager"/>
        <s v="Software Engineering Manager"/>
        <s v="BI Director"/>
        <s v="Director of Operations"/>
        <s v="Sr. Network Engineer"/>
        <s v="Sales Manager"/>
        <s v="BI Developer"/>
        <s v="IT Manager - Support"/>
        <s v="Network Engineer"/>
        <s v="IT Director"/>
        <s v="Director of Sales"/>
        <s v="Administrative Assistant"/>
        <s v="President &amp; CEO"/>
        <s v="Senior BI Developer"/>
        <s v="Shared Services Manager"/>
        <s v="IT Manager - Infra"/>
        <s v="Principal Data Architect"/>
        <s v="Data Architect"/>
        <s v="IT Manager - DB"/>
        <s v="CIO"/>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6002.710172916668" createdVersion="8" refreshedVersion="8" minRefreshableVersion="3" recordCount="313" xr:uid="{4D965500-BDD9-4DC3-B4B5-D7123D57EE07}">
  <cacheSource type="worksheet">
    <worksheetSource ref="A1:P1048576" sheet="HRDataset_clean"/>
  </cacheSource>
  <cacheFields count="16">
    <cacheField name="Employee_Name" numFmtId="0">
      <sharedItems containsBlank="1"/>
    </cacheField>
    <cacheField name="EmpID" numFmtId="0">
      <sharedItems containsString="0" containsBlank="1" containsNumber="1" containsInteger="1" minValue="10001" maxValue="10311"/>
    </cacheField>
    <cacheField name="GenderID" numFmtId="0">
      <sharedItems containsString="0" containsBlank="1" containsNumber="1" containsInteger="1" minValue="0" maxValue="1"/>
    </cacheField>
    <cacheField name="Salary" numFmtId="2">
      <sharedItems containsString="0" containsBlank="1" containsNumber="1" minValue="45046" maxValue="250000"/>
    </cacheField>
    <cacheField name="Position" numFmtId="0">
      <sharedItems containsBlank="1"/>
    </cacheField>
    <cacheField name="DOB" numFmtId="0">
      <sharedItems containsNonDate="0" containsDate="1" containsString="0" containsBlank="1" minDate="1951-01-02T00:00:00" maxDate="1992-08-18T00:00:00"/>
    </cacheField>
    <cacheField name="Sex" numFmtId="0">
      <sharedItems containsBlank="1"/>
    </cacheField>
    <cacheField name="CitizenDesc" numFmtId="0">
      <sharedItems containsBlank="1"/>
    </cacheField>
    <cacheField name="DateofHire" numFmtId="0">
      <sharedItems containsNonDate="0" containsDate="1" containsString="0" containsBlank="1"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ontainsBlank="1"/>
    </cacheField>
    <cacheField name="EmploymentStatus" numFmtId="0">
      <sharedItems containsBlank="1" containsMixedTypes="1" containsNumber="1" containsInteger="1" minValue="311" maxValue="311"/>
    </cacheField>
    <cacheField name="Department" numFmtId="0">
      <sharedItems containsBlank="1"/>
    </cacheField>
    <cacheField name="ManagerName" numFmtId="0">
      <sharedItems containsBlank="1" containsMixedTypes="1" containsNumber="1" containsInteger="1" minValue="311" maxValue="311"/>
    </cacheField>
    <cacheField name="Age" numFmtId="0">
      <sharedItems containsString="0" containsBlank="1" containsNumber="1" minValue="33" maxValue="74" count="40">
        <n v="42"/>
        <n v="50"/>
        <n v="37"/>
        <n v="36"/>
        <n v="48"/>
        <n v="46"/>
        <n v="55"/>
        <n v="51"/>
        <n v="44"/>
        <n v="59"/>
        <n v="39"/>
        <n v="54"/>
        <n v="66"/>
        <n v="35"/>
        <n v="58"/>
        <n v="61"/>
        <n v="38"/>
        <n v="56"/>
        <n v="45"/>
        <n v="62"/>
        <n v="74"/>
        <n v="53"/>
        <n v="40"/>
        <n v="47"/>
        <n v="49"/>
        <n v="60"/>
        <n v="73"/>
        <n v="43"/>
        <n v="52"/>
        <n v="34"/>
        <n v="70"/>
        <n v="57"/>
        <n v="33"/>
        <n v="41"/>
        <n v="71"/>
        <n v="64"/>
        <n v="72"/>
        <n v="67"/>
        <n v="46.382636655948552"/>
        <m/>
      </sharedItems>
    </cacheField>
    <cacheField name="Experience" numFmtId="0">
      <sharedItems containsString="0" containsBlank="1" containsNumber="1" minValue="0" maxValue="19" count="22">
        <n v="14"/>
        <n v="1"/>
        <n v="17"/>
        <n v="5"/>
        <n v="13"/>
        <n v="11"/>
        <n v="12"/>
        <n v="16"/>
        <n v="10"/>
        <n v="6"/>
        <n v="4"/>
        <n v="9"/>
        <n v="3"/>
        <n v="2"/>
        <n v="0"/>
        <n v="15"/>
        <n v="7"/>
        <n v="8"/>
        <n v="18"/>
        <n v="19"/>
        <n v="8.861736334405144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x v="0"/>
    <d v="1983-07-10T00:00:00"/>
    <x v="0"/>
    <s v="US Citizen"/>
    <d v="2011-07-05T00:00:00"/>
    <m/>
    <s v="N/A-StillEmployed"/>
    <x v="0"/>
    <x v="0"/>
    <s v="Michael Albert"/>
    <n v="42"/>
    <n v="14"/>
  </r>
  <r>
    <s v="Ait Sidi, Karthikeyan"/>
    <n v="10084"/>
    <n v="1"/>
    <n v="104437"/>
    <x v="1"/>
    <d v="1975-05-05T00:00:00"/>
    <x v="0"/>
    <s v="US Citizen"/>
    <d v="2015-03-30T00:00:00"/>
    <d v="2016-06-16T00:00:00"/>
    <s v="career change"/>
    <x v="1"/>
    <x v="1"/>
    <s v="Simon Roup"/>
    <n v="50"/>
    <n v="1"/>
  </r>
  <r>
    <s v="Akinkuolie, Sarah"/>
    <n v="10196"/>
    <n v="0"/>
    <n v="64955"/>
    <x v="2"/>
    <d v="1988-09-19T00:00:00"/>
    <x v="1"/>
    <s v="US Citizen"/>
    <d v="2011-07-05T00:00:00"/>
    <d v="2012-09-24T00:00:00"/>
    <s v="hours"/>
    <x v="1"/>
    <x v="0"/>
    <s v="Kissy Sullivan"/>
    <n v="37"/>
    <n v="1"/>
  </r>
  <r>
    <s v="Alagbe,Trina"/>
    <n v="10088"/>
    <n v="0"/>
    <n v="64991"/>
    <x v="0"/>
    <d v="1988-09-27T00:00:00"/>
    <x v="1"/>
    <s v="US Citizen"/>
    <d v="2008-01-07T00:00:00"/>
    <m/>
    <s v="N/A-StillEmployed"/>
    <x v="0"/>
    <x v="0"/>
    <s v="Elijiah Gray"/>
    <n v="37"/>
    <n v="17"/>
  </r>
  <r>
    <s v="Anderson, Carol"/>
    <n v="10069"/>
    <n v="0"/>
    <n v="50825"/>
    <x v="0"/>
    <d v="1989-09-08T00:00:00"/>
    <x v="1"/>
    <s v="US Citizen"/>
    <d v="2011-07-11T00:00:00"/>
    <d v="2016-09-06T00:00:00"/>
    <s v="return to school"/>
    <x v="1"/>
    <x v="0"/>
    <s v="Webster Butler"/>
    <n v="36"/>
    <n v="5"/>
  </r>
  <r>
    <s v="Anderson, Linda"/>
    <n v="10002"/>
    <n v="0"/>
    <n v="57568"/>
    <x v="0"/>
    <d v="1977-05-22T00:00:00"/>
    <x v="1"/>
    <s v="US Citizen"/>
    <d v="2012-01-09T00:00:00"/>
    <m/>
    <s v="N/A-StillEmployed"/>
    <x v="0"/>
    <x v="0"/>
    <s v="Amy Dunn"/>
    <n v="48"/>
    <n v="13"/>
  </r>
  <r>
    <s v="Andreola, Colby"/>
    <n v="10194"/>
    <n v="0"/>
    <n v="95660"/>
    <x v="3"/>
    <d v="1979-05-24T00:00:00"/>
    <x v="1"/>
    <s v="US Citizen"/>
    <d v="2014-11-10T00:00:00"/>
    <m/>
    <s v="N/A-StillEmployed"/>
    <x v="0"/>
    <x v="2"/>
    <s v="Alex Sweetwater"/>
    <n v="46"/>
    <n v="11"/>
  </r>
  <r>
    <s v="Athwal, Sam"/>
    <n v="10062"/>
    <n v="1"/>
    <n v="59365"/>
    <x v="0"/>
    <d v="1983-02-18T00:00:00"/>
    <x v="0"/>
    <s v="US Citizen"/>
    <d v="2013-09-30T00:00:00"/>
    <m/>
    <s v="N/A-StillEmployed"/>
    <x v="0"/>
    <x v="0"/>
    <s v="Ketsia Liebig"/>
    <n v="42"/>
    <n v="12"/>
  </r>
  <r>
    <s v="Bachiochi, Linda"/>
    <n v="10114"/>
    <n v="0"/>
    <n v="47837"/>
    <x v="0"/>
    <d v="1970-02-11T00:00:00"/>
    <x v="1"/>
    <s v="US Citizen"/>
    <d v="2009-07-06T00:00:00"/>
    <m/>
    <s v="N/A-StillEmployed"/>
    <x v="0"/>
    <x v="0"/>
    <s v="Brannon Miller"/>
    <n v="55"/>
    <n v="16"/>
  </r>
  <r>
    <s v="Bacong, Alejandro"/>
    <n v="10250"/>
    <n v="1"/>
    <n v="50178"/>
    <x v="4"/>
    <d v="1988-01-07T00:00:00"/>
    <x v="0"/>
    <s v="US Citizen"/>
    <d v="2015-01-05T00:00:00"/>
    <m/>
    <s v="N/A-StillEmployed"/>
    <x v="0"/>
    <x v="1"/>
    <s v="Peter Monroe"/>
    <n v="37"/>
    <n v="10"/>
  </r>
  <r>
    <s v="Baczenski, Rachael"/>
    <n v="10252"/>
    <n v="0"/>
    <n v="54670"/>
    <x v="0"/>
    <d v="1974-01-12T00:00:00"/>
    <x v="1"/>
    <s v="US Citizen"/>
    <d v="2011-01-10T00:00:00"/>
    <d v="2017-01-12T00:00:00"/>
    <s v="Another position"/>
    <x v="1"/>
    <x v="0"/>
    <s v="David Stanley"/>
    <n v="51"/>
    <n v="6"/>
  </r>
  <r>
    <s v="Barbara, Thomas"/>
    <n v="10242"/>
    <n v="1"/>
    <n v="47211"/>
    <x v="0"/>
    <d v="1974-02-21T00:00:00"/>
    <x v="0"/>
    <s v="US Citizen"/>
    <d v="2012-04-02T00:00:00"/>
    <d v="2016-09-19T00:00:00"/>
    <s v="unhappy"/>
    <x v="1"/>
    <x v="0"/>
    <s v="Kissy Sullivan"/>
    <n v="51"/>
    <n v="4"/>
  </r>
  <r>
    <s v="Barbossa, Hector"/>
    <n v="10012"/>
    <n v="1"/>
    <n v="92328"/>
    <x v="5"/>
    <d v="1988-07-04T00:00:00"/>
    <x v="0"/>
    <s v="US Citizen"/>
    <d v="2014-11-10T00:00:00"/>
    <m/>
    <s v="N/A-StillEmployed"/>
    <x v="0"/>
    <x v="1"/>
    <s v="Simon Roup"/>
    <n v="37"/>
    <n v="11"/>
  </r>
  <r>
    <s v="Barone, Francesco  A"/>
    <n v="10265"/>
    <n v="1"/>
    <n v="58709"/>
    <x v="0"/>
    <d v="1983-07-20T00:00:00"/>
    <x v="0"/>
    <s v="US Citizen"/>
    <d v="2012-02-20T00:00:00"/>
    <m/>
    <s v="N/A-StillEmployed"/>
    <x v="0"/>
    <x v="0"/>
    <s v="Kelley Spirea"/>
    <n v="42"/>
    <n v="13"/>
  </r>
  <r>
    <s v="Barton, Nader"/>
    <n v="10066"/>
    <n v="1"/>
    <n v="52505"/>
    <x v="0"/>
    <d v="1977-07-15T00:00:00"/>
    <x v="0"/>
    <s v="US Citizen"/>
    <d v="2012-09-24T00:00:00"/>
    <d v="2017-04-06T00:00:00"/>
    <s v="Another position"/>
    <x v="1"/>
    <x v="0"/>
    <s v="Michael Albert"/>
    <n v="48"/>
    <n v="4"/>
  </r>
  <r>
    <s v="Bates, Norman"/>
    <n v="10061"/>
    <n v="1"/>
    <n v="57834"/>
    <x v="0"/>
    <d v="1981-10-18T00:00:00"/>
    <x v="0"/>
    <s v="US Citizen"/>
    <d v="2011-02-21T00:00:00"/>
    <d v="2017-08-04T00:00:00"/>
    <s v="attendance"/>
    <x v="2"/>
    <x v="0"/>
    <s v="Kelley Spirea"/>
    <n v="44"/>
    <n v="6"/>
  </r>
  <r>
    <s v="Beak, Kimberly"/>
    <n v="10023"/>
    <n v="0"/>
    <n v="70131"/>
    <x v="2"/>
    <d v="1966-04-17T00:00:00"/>
    <x v="1"/>
    <s v="US Citizen"/>
    <d v="2016-07-21T00:00:00"/>
    <m/>
    <s v="N/A-StillEmployed"/>
    <x v="0"/>
    <x v="0"/>
    <s v="Kelley Spirea"/>
    <n v="59"/>
    <n v="9"/>
  </r>
  <r>
    <s v="Beatrice, Courtney"/>
    <n v="10055"/>
    <n v="0"/>
    <n v="59026"/>
    <x v="0"/>
    <d v="1970-10-27T00:00:00"/>
    <x v="1"/>
    <s v="Eligible NonCitizen"/>
    <d v="2011-04-04T00:00:00"/>
    <m/>
    <s v="N/A-StillEmployed"/>
    <x v="0"/>
    <x v="0"/>
    <s v="Elijiah Gray"/>
    <n v="55"/>
    <n v="14"/>
  </r>
  <r>
    <s v="Becker, Renee"/>
    <n v="10245"/>
    <n v="0"/>
    <n v="110000"/>
    <x v="6"/>
    <d v="1986-04-04T00:00:00"/>
    <x v="1"/>
    <s v="US Citizen"/>
    <d v="2014-07-07T00:00:00"/>
    <d v="2015-09-12T00:00:00"/>
    <s v="performance"/>
    <x v="2"/>
    <x v="1"/>
    <s v="Simon Roup"/>
    <n v="39"/>
    <n v="1"/>
  </r>
  <r>
    <s v="Becker, Scott"/>
    <n v="10277"/>
    <n v="1"/>
    <n v="53250"/>
    <x v="0"/>
    <d v="1979-04-06T00:00:00"/>
    <x v="0"/>
    <s v="US Citizen"/>
    <d v="2013-07-08T00:00:00"/>
    <m/>
    <s v="N/A-StillEmployed"/>
    <x v="0"/>
    <x v="0"/>
    <s v="Webster Butler"/>
    <n v="46"/>
    <n v="12"/>
  </r>
  <r>
    <s v="Bernstein, Sean"/>
    <n v="10046"/>
    <n v="1"/>
    <n v="51044"/>
    <x v="0"/>
    <d v="1970-12-22T00:00:00"/>
    <x v="0"/>
    <s v="US Citizen"/>
    <d v="2012-04-02T00:00:00"/>
    <m/>
    <s v="N/A-StillEmployed"/>
    <x v="0"/>
    <x v="0"/>
    <s v="Amy Dunn"/>
    <n v="54"/>
    <n v="13"/>
  </r>
  <r>
    <s v="Biden, Lowan  M"/>
    <n v="10226"/>
    <n v="0"/>
    <n v="64919"/>
    <x v="0"/>
    <d v="1958-12-27T00:00:00"/>
    <x v="1"/>
    <s v="US Citizen"/>
    <d v="2013-08-19T00:00:00"/>
    <m/>
    <s v="N/A-StillEmployed"/>
    <x v="0"/>
    <x v="0"/>
    <s v="Ketsia Liebig"/>
    <n v="66"/>
    <n v="12"/>
  </r>
  <r>
    <s v="Billis, Helen"/>
    <n v="10003"/>
    <n v="0"/>
    <n v="62910"/>
    <x v="0"/>
    <d v="1989-09-01T00:00:00"/>
    <x v="1"/>
    <s v="US Citizen"/>
    <d v="2014-07-07T00:00:00"/>
    <m/>
    <s v="N/A-StillEmployed"/>
    <x v="0"/>
    <x v="0"/>
    <s v="Brannon Miller"/>
    <n v="36"/>
    <n v="11"/>
  </r>
  <r>
    <s v="Blount, Dianna"/>
    <n v="10294"/>
    <n v="0"/>
    <n v="66441"/>
    <x v="2"/>
    <d v="1990-09-21T00:00:00"/>
    <x v="1"/>
    <s v="US Citizen"/>
    <d v="2011-04-04T00:00:00"/>
    <m/>
    <s v="N/A-StillEmployed"/>
    <x v="0"/>
    <x v="0"/>
    <s v="Michael Albert"/>
    <n v="35"/>
    <n v="14"/>
  </r>
  <r>
    <s v="Bondwell, Betsy"/>
    <n v="10267"/>
    <n v="0"/>
    <n v="57815"/>
    <x v="2"/>
    <d v="1967-01-16T00:00:00"/>
    <x v="1"/>
    <s v="US Citizen"/>
    <d v="2011-01-10T00:00:00"/>
    <d v="2014-04-04T00:00:00"/>
    <s v="career change"/>
    <x v="1"/>
    <x v="0"/>
    <s v="Elijiah Gray"/>
    <n v="58"/>
    <n v="3"/>
  </r>
  <r>
    <s v="Booth, Frank"/>
    <n v="10199"/>
    <n v="1"/>
    <n v="103613"/>
    <x v="7"/>
    <d v="1964-07-30T00:00:00"/>
    <x v="0"/>
    <s v="US Citizen"/>
    <d v="2014-02-17T00:00:00"/>
    <d v="2016-02-19T00:00:00"/>
    <s v="Learned that he is a gangster"/>
    <x v="2"/>
    <x v="1"/>
    <s v="Simon Roup"/>
    <n v="61"/>
    <n v="2"/>
  </r>
  <r>
    <s v="Boutwell, Bonalyn"/>
    <n v="10081"/>
    <n v="0"/>
    <n v="106367"/>
    <x v="8"/>
    <d v="1987-04-04T00:00:00"/>
    <x v="1"/>
    <s v="US Citizen"/>
    <d v="2015-02-16T00:00:00"/>
    <m/>
    <s v="N/A-StillEmployed"/>
    <x v="0"/>
    <x v="3"/>
    <s v="Brandon R. LeBlanc"/>
    <n v="38"/>
    <n v="10"/>
  </r>
  <r>
    <s v="Bozzi, Charles"/>
    <n v="10175"/>
    <n v="1"/>
    <n v="74312"/>
    <x v="9"/>
    <d v="1970-03-10T00:00:00"/>
    <x v="0"/>
    <s v="US Citizen"/>
    <d v="2013-09-30T00:00:00"/>
    <d v="2014-08-07T00:00:00"/>
    <s v="retiring"/>
    <x v="1"/>
    <x v="0"/>
    <s v="Janet King"/>
    <n v="55"/>
    <n v="0"/>
  </r>
  <r>
    <s v="Brill, Donna"/>
    <n v="10177"/>
    <n v="0"/>
    <n v="53492"/>
    <x v="0"/>
    <d v="1990-08-24T00:00:00"/>
    <x v="1"/>
    <s v="US Citizen"/>
    <d v="2012-04-02T00:00:00"/>
    <d v="2013-06-15T00:00:00"/>
    <s v="Another position"/>
    <x v="1"/>
    <x v="0"/>
    <s v="David Stanley"/>
    <n v="35"/>
    <n v="1"/>
  </r>
  <r>
    <s v="Brown, Mia"/>
    <n v="10238"/>
    <n v="0"/>
    <n v="63000"/>
    <x v="10"/>
    <d v="1987-11-24T00:00:00"/>
    <x v="1"/>
    <s v="US Citizen"/>
    <d v="2008-10-27T00:00:00"/>
    <m/>
    <s v="N/A-StillEmployed"/>
    <x v="0"/>
    <x v="3"/>
    <s v="Brandon R. LeBlanc"/>
    <n v="38"/>
    <n v="17"/>
  </r>
  <r>
    <s v="Buccheri, Joseph"/>
    <n v="10184"/>
    <n v="1"/>
    <n v="65288"/>
    <x v="2"/>
    <d v="1983-07-28T00:00:00"/>
    <x v="0"/>
    <s v="US Citizen"/>
    <d v="2014-09-29T00:00:00"/>
    <m/>
    <s v="N/A-StillEmployed"/>
    <x v="0"/>
    <x v="0"/>
    <s v="Webster Butler"/>
    <n v="42"/>
    <n v="11"/>
  </r>
  <r>
    <s v="Bugali, Josephine"/>
    <n v="10203"/>
    <n v="0"/>
    <n v="64375"/>
    <x v="0"/>
    <d v="1969-10-30T00:00:00"/>
    <x v="1"/>
    <s v="US Citizen"/>
    <d v="2013-11-11T00:00:00"/>
    <m/>
    <s v="N/A-StillEmployed"/>
    <x v="0"/>
    <x v="0"/>
    <s v="Kissy Sullivan"/>
    <n v="56"/>
    <n v="12"/>
  </r>
  <r>
    <s v="Bunbury, Jessica"/>
    <n v="10188"/>
    <n v="0"/>
    <n v="74326"/>
    <x v="11"/>
    <d v="1964-06-01T00:00:00"/>
    <x v="1"/>
    <s v="Eligible NonCitizen"/>
    <d v="2011-08-15T00:00:00"/>
    <d v="2014-08-02T00:00:00"/>
    <s v="Another position"/>
    <x v="1"/>
    <x v="4"/>
    <s v="John Smith"/>
    <n v="61"/>
    <n v="2"/>
  </r>
  <r>
    <s v="Burke, Joelle"/>
    <n v="10107"/>
    <n v="0"/>
    <n v="63763"/>
    <x v="2"/>
    <d v="1980-03-02T00:00:00"/>
    <x v="1"/>
    <s v="US Citizen"/>
    <d v="2012-03-05T00:00:00"/>
    <m/>
    <s v="N/A-StillEmployed"/>
    <x v="0"/>
    <x v="0"/>
    <s v="Amy Dunn"/>
    <n v="45"/>
    <n v="13"/>
  </r>
  <r>
    <s v="Burkett, Benjamin"/>
    <n v="10181"/>
    <n v="1"/>
    <n v="62162"/>
    <x v="2"/>
    <d v="1977-08-19T00:00:00"/>
    <x v="0"/>
    <s v="US Citizen"/>
    <d v="2011-04-04T00:00:00"/>
    <m/>
    <s v="N/A-StillEmployed"/>
    <x v="0"/>
    <x v="0"/>
    <s v="Ketsia Liebig"/>
    <n v="48"/>
    <n v="14"/>
  </r>
  <r>
    <s v="Cady, Max"/>
    <n v="10150"/>
    <n v="1"/>
    <n v="77692"/>
    <x v="12"/>
    <d v="1966-11-22T00:00:00"/>
    <x v="0"/>
    <s v="US Citizen"/>
    <d v="2011-08-15T00:00:00"/>
    <m/>
    <s v="N/A-StillEmployed"/>
    <x v="0"/>
    <x v="2"/>
    <s v="Jennifer Zamora"/>
    <n v="59"/>
    <n v="14"/>
  </r>
  <r>
    <s v="Candie, Calvin"/>
    <n v="10001"/>
    <n v="1"/>
    <n v="72640"/>
    <x v="9"/>
    <d v="1983-08-09T00:00:00"/>
    <x v="0"/>
    <s v="US Citizen"/>
    <d v="2016-01-28T00:00:00"/>
    <m/>
    <s v="N/A-StillEmployed"/>
    <x v="0"/>
    <x v="0"/>
    <s v="Janet King"/>
    <n v="42"/>
    <n v="9"/>
  </r>
  <r>
    <s v="Carabbio, Judith"/>
    <n v="10085"/>
    <n v="0"/>
    <n v="93396"/>
    <x v="3"/>
    <d v="1987-04-05T00:00:00"/>
    <x v="1"/>
    <s v="US Citizen"/>
    <d v="2013-11-11T00:00:00"/>
    <m/>
    <s v="N/A-StillEmployed"/>
    <x v="0"/>
    <x v="2"/>
    <s v="Alex Sweetwater"/>
    <n v="38"/>
    <n v="12"/>
  </r>
  <r>
    <s v="Carey, Michael"/>
    <n v="10115"/>
    <n v="1"/>
    <n v="52846"/>
    <x v="0"/>
    <d v="1983-02-02T00:00:00"/>
    <x v="0"/>
    <s v="US Citizen"/>
    <d v="2014-03-31T00:00:00"/>
    <m/>
    <s v="N/A-StillEmployed"/>
    <x v="0"/>
    <x v="0"/>
    <s v="Kelley Spirea"/>
    <n v="42"/>
    <n v="11"/>
  </r>
  <r>
    <s v="Carr, Claudia  N"/>
    <n v="10082"/>
    <n v="0"/>
    <n v="100031"/>
    <x v="1"/>
    <d v="1986-06-06T00:00:00"/>
    <x v="1"/>
    <s v="US Citizen"/>
    <d v="2016-06-30T00:00:00"/>
    <m/>
    <s v="N/A-StillEmployed"/>
    <x v="0"/>
    <x v="1"/>
    <s v="Simon Roup"/>
    <n v="39"/>
    <n v="9"/>
  </r>
  <r>
    <s v="Carter, Michelle"/>
    <n v="10040"/>
    <n v="0"/>
    <n v="71860"/>
    <x v="11"/>
    <d v="1963-05-15T00:00:00"/>
    <x v="1"/>
    <s v="US Citizen"/>
    <d v="2014-08-18T00:00:00"/>
    <m/>
    <s v="N/A-StillEmployed"/>
    <x v="0"/>
    <x v="4"/>
    <s v="John Smith"/>
    <n v="62"/>
    <n v="11"/>
  </r>
  <r>
    <s v="Chace, Beatrice"/>
    <n v="10067"/>
    <n v="0"/>
    <n v="61656"/>
    <x v="0"/>
    <d v="1951-01-02T00:00:00"/>
    <x v="1"/>
    <s v="US Citizen"/>
    <d v="2014-09-29T00:00:00"/>
    <m/>
    <s v="N/A-StillEmployed"/>
    <x v="0"/>
    <x v="0"/>
    <s v="Michael Albert"/>
    <n v="74"/>
    <n v="11"/>
  </r>
  <r>
    <s v="Champaigne, Brian"/>
    <n v="10108"/>
    <n v="1"/>
    <n v="110929"/>
    <x v="13"/>
    <d v="1972-02-09T00:00:00"/>
    <x v="0"/>
    <s v="US Citizen"/>
    <d v="2016-09-06T00:00:00"/>
    <m/>
    <s v="N/A-StillEmployed"/>
    <x v="0"/>
    <x v="1"/>
    <s v="Jennifer Zamora"/>
    <n v="53"/>
    <n v="9"/>
  </r>
  <r>
    <s v="Chan, Lin"/>
    <n v="10210"/>
    <n v="0"/>
    <n v="54237"/>
    <x v="0"/>
    <d v="1979-02-12T00:00:00"/>
    <x v="1"/>
    <s v="US Citizen"/>
    <d v="2014-05-12T00:00:00"/>
    <m/>
    <s v="N/A-StillEmployed"/>
    <x v="0"/>
    <x v="0"/>
    <s v="Elijiah Gray"/>
    <n v="46"/>
    <n v="11"/>
  </r>
  <r>
    <s v="Chang, Donovan  E"/>
    <n v="10154"/>
    <n v="1"/>
    <n v="60380"/>
    <x v="0"/>
    <d v="1983-08-24T00:00:00"/>
    <x v="0"/>
    <s v="US Citizen"/>
    <d v="2013-07-08T00:00:00"/>
    <m/>
    <s v="N/A-StillEmployed"/>
    <x v="0"/>
    <x v="0"/>
    <s v="Webster Butler"/>
    <n v="42"/>
    <n v="12"/>
  </r>
  <r>
    <s v="Chigurh, Anton"/>
    <n v="10200"/>
    <n v="1"/>
    <n v="66808"/>
    <x v="11"/>
    <d v="1970-06-11T00:00:00"/>
    <x v="0"/>
    <s v="Eligible NonCitizen"/>
    <d v="2012-05-14T00:00:00"/>
    <m/>
    <s v="N/A-StillEmployed"/>
    <x v="0"/>
    <x v="4"/>
    <s v="Lynn Daneault"/>
    <n v="55"/>
    <n v="13"/>
  </r>
  <r>
    <s v="Chivukula, Enola"/>
    <n v="10240"/>
    <n v="0"/>
    <n v="64786"/>
    <x v="0"/>
    <d v="1983-08-27T00:00:00"/>
    <x v="1"/>
    <s v="US Citizen"/>
    <d v="2011-06-27T00:00:00"/>
    <d v="2015-11-15T00:00:00"/>
    <s v="relocation out of area"/>
    <x v="1"/>
    <x v="0"/>
    <s v="Amy Dunn"/>
    <n v="42"/>
    <n v="4"/>
  </r>
  <r>
    <s v="Cierpiszewski, Caroline"/>
    <n v="10168"/>
    <n v="0"/>
    <n v="64816"/>
    <x v="0"/>
    <d v="1988-05-31T00:00:00"/>
    <x v="1"/>
    <s v="Non-Citizen"/>
    <d v="2011-10-03T00:00:00"/>
    <m/>
    <s v="N/A-StillEmployed"/>
    <x v="0"/>
    <x v="0"/>
    <s v="Ketsia Liebig"/>
    <n v="37"/>
    <n v="14"/>
  </r>
  <r>
    <s v="Clayton, Rick"/>
    <n v="10220"/>
    <n v="1"/>
    <n v="68678"/>
    <x v="4"/>
    <d v="1985-09-05T00:00:00"/>
    <x v="0"/>
    <s v="US Citizen"/>
    <d v="2012-09-05T00:00:00"/>
    <m/>
    <s v="N/A-StillEmployed"/>
    <x v="0"/>
    <x v="1"/>
    <s v="Eric Dougall"/>
    <n v="40"/>
    <n v="13"/>
  </r>
  <r>
    <s v="Cloninger, Jennifer"/>
    <n v="10275"/>
    <n v="0"/>
    <n v="64066"/>
    <x v="2"/>
    <d v="1981-08-31T00:00:00"/>
    <x v="1"/>
    <s v="US Citizen"/>
    <d v="2011-05-16T00:00:00"/>
    <d v="2013-01-07T00:00:00"/>
    <s v="unhappy"/>
    <x v="1"/>
    <x v="0"/>
    <s v="Brannon Miller"/>
    <n v="44"/>
    <n v="1"/>
  </r>
  <r>
    <s v="Close, Phil"/>
    <n v="10269"/>
    <n v="1"/>
    <n v="59369"/>
    <x v="2"/>
    <d v="1978-11-25T00:00:00"/>
    <x v="0"/>
    <s v="US Citizen"/>
    <d v="2010-08-30T00:00:00"/>
    <d v="2011-09-26T00:00:00"/>
    <s v="career change"/>
    <x v="1"/>
    <x v="0"/>
    <s v="David Stanley"/>
    <n v="47"/>
    <n v="1"/>
  </r>
  <r>
    <s v="Clukey, Elijian"/>
    <n v="10029"/>
    <n v="1"/>
    <n v="50373"/>
    <x v="0"/>
    <d v="1980-08-26T00:00:00"/>
    <x v="0"/>
    <s v="US Citizen"/>
    <d v="2016-07-06T00:00:00"/>
    <m/>
    <s v="N/A-StillEmployed"/>
    <x v="0"/>
    <x v="0"/>
    <s v="Brannon Miller"/>
    <n v="45"/>
    <n v="9"/>
  </r>
  <r>
    <s v="Cockel, James"/>
    <n v="10261"/>
    <n v="1"/>
    <n v="63108"/>
    <x v="0"/>
    <d v="1977-09-08T00:00:00"/>
    <x v="0"/>
    <s v="US Citizen"/>
    <d v="2013-07-08T00:00:00"/>
    <m/>
    <s v="N/A-StillEmployed"/>
    <x v="0"/>
    <x v="0"/>
    <s v="David Stanley"/>
    <n v="48"/>
    <n v="12"/>
  </r>
  <r>
    <s v="Cole, Spencer"/>
    <n v="10292"/>
    <n v="1"/>
    <n v="59144"/>
    <x v="0"/>
    <d v="1979-08-12T00:00:00"/>
    <x v="0"/>
    <s v="US Citizen"/>
    <d v="2011-07-11T00:00:00"/>
    <d v="2016-09-23T00:00:00"/>
    <s v="performance"/>
    <x v="2"/>
    <x v="0"/>
    <s v="Kissy Sullivan"/>
    <n v="46"/>
    <n v="5"/>
  </r>
  <r>
    <s v="Corleone, Michael"/>
    <n v="10282"/>
    <n v="1"/>
    <n v="68051"/>
    <x v="9"/>
    <d v="1975-12-17T00:00:00"/>
    <x v="0"/>
    <s v="US Citizen"/>
    <d v="2010-07-20T00:00:00"/>
    <m/>
    <s v="N/A-StillEmployed"/>
    <x v="0"/>
    <x v="0"/>
    <s v="Janet King"/>
    <n v="49"/>
    <n v="15"/>
  </r>
  <r>
    <s v="Corleone, Vito"/>
    <n v="10019"/>
    <n v="1"/>
    <n v="170500"/>
    <x v="14"/>
    <d v="1983-03-19T00:00:00"/>
    <x v="0"/>
    <s v="US Citizen"/>
    <d v="2009-01-05T00:00:00"/>
    <m/>
    <s v="N/A-StillEmployed"/>
    <x v="0"/>
    <x v="0"/>
    <s v="Janet King"/>
    <n v="42"/>
    <n v="16"/>
  </r>
  <r>
    <s v="Cornett, Lisa"/>
    <n v="10094"/>
    <n v="0"/>
    <n v="63381"/>
    <x v="0"/>
    <d v="1977-03-31T00:00:00"/>
    <x v="1"/>
    <s v="US Citizen"/>
    <d v="2015-01-05T00:00:00"/>
    <m/>
    <s v="N/A-StillEmployed"/>
    <x v="0"/>
    <x v="0"/>
    <s v="Kelley Spirea"/>
    <n v="48"/>
    <n v="10"/>
  </r>
  <r>
    <s v="Costello, Frank"/>
    <n v="10193"/>
    <n v="1"/>
    <n v="83552"/>
    <x v="5"/>
    <d v="1986-08-26T00:00:00"/>
    <x v="0"/>
    <s v="US Citizen"/>
    <d v="2015-03-30T00:00:00"/>
    <m/>
    <s v="N/A-StillEmployed"/>
    <x v="0"/>
    <x v="1"/>
    <s v="Simon Roup"/>
    <n v="39"/>
    <n v="10"/>
  </r>
  <r>
    <s v="Crimmings,   Jean"/>
    <n v="10132"/>
    <n v="0"/>
    <n v="56149"/>
    <x v="0"/>
    <d v="1987-04-10T00:00:00"/>
    <x v="1"/>
    <s v="US Citizen"/>
    <d v="2016-07-06T00:00:00"/>
    <m/>
    <s v="N/A-StillEmployed"/>
    <x v="0"/>
    <x v="0"/>
    <s v="Michael Albert"/>
    <n v="38"/>
    <n v="9"/>
  </r>
  <r>
    <s v="Cross, Noah"/>
    <n v="10083"/>
    <n v="1"/>
    <n v="92329"/>
    <x v="15"/>
    <d v="1965-09-09T00:00:00"/>
    <x v="0"/>
    <s v="US Citizen"/>
    <d v="2014-11-10T00:00:00"/>
    <m/>
    <s v="N/A-StillEmployed"/>
    <x v="0"/>
    <x v="1"/>
    <s v="Peter Monroe"/>
    <n v="60"/>
    <n v="11"/>
  </r>
  <r>
    <s v="Daneault, Lynn"/>
    <n v="10099"/>
    <n v="0"/>
    <n v="65729"/>
    <x v="16"/>
    <d v="1990-04-19T00:00:00"/>
    <x v="1"/>
    <s v="US Citizen"/>
    <d v="2014-05-05T00:00:00"/>
    <m/>
    <s v="N/A-StillEmployed"/>
    <x v="0"/>
    <x v="4"/>
    <s v="Debra Houlihan"/>
    <n v="35"/>
    <n v="11"/>
  </r>
  <r>
    <s v="Daniele, Ann"/>
    <n v="10212"/>
    <n v="0"/>
    <n v="85028"/>
    <x v="15"/>
    <d v="1952-01-18T00:00:00"/>
    <x v="1"/>
    <s v="US Citizen"/>
    <d v="2014-11-10T00:00:00"/>
    <m/>
    <s v="N/A-StillEmployed"/>
    <x v="0"/>
    <x v="1"/>
    <s v="Peter Monroe"/>
    <n v="73"/>
    <n v="11"/>
  </r>
  <r>
    <s v="Darson, Jene'ya"/>
    <n v="10056"/>
    <n v="0"/>
    <n v="57583"/>
    <x v="0"/>
    <d v="1978-11-05T00:00:00"/>
    <x v="1"/>
    <s v="US Citizen"/>
    <d v="2012-07-02T00:00:00"/>
    <m/>
    <s v="N/A-StillEmployed"/>
    <x v="0"/>
    <x v="0"/>
    <s v="Elijiah Gray"/>
    <n v="47"/>
    <n v="13"/>
  </r>
  <r>
    <s v="Davis, Daniel"/>
    <n v="10143"/>
    <n v="1"/>
    <n v="56294"/>
    <x v="2"/>
    <d v="1979-09-14T00:00:00"/>
    <x v="0"/>
    <s v="Eligible NonCitizen"/>
    <d v="2011-11-07T00:00:00"/>
    <m/>
    <s v="N/A-StillEmployed"/>
    <x v="0"/>
    <x v="0"/>
    <s v="Kissy Sullivan"/>
    <n v="46"/>
    <n v="14"/>
  </r>
  <r>
    <s v="Dee, Randy"/>
    <n v="10311"/>
    <n v="1"/>
    <n v="56991"/>
    <x v="0"/>
    <d v="1988-04-15T00:00:00"/>
    <x v="0"/>
    <s v="US Citizen"/>
    <d v="2018-07-09T00:00:00"/>
    <m/>
    <s v="N/A-StillEmployed"/>
    <x v="0"/>
    <x v="0"/>
    <s v="Brannon Miller"/>
    <n v="37"/>
    <n v="7"/>
  </r>
  <r>
    <s v="DeGweck,  James"/>
    <n v="10070"/>
    <n v="1"/>
    <n v="55722"/>
    <x v="0"/>
    <d v="1977-10-31T00:00:00"/>
    <x v="0"/>
    <s v="US Citizen"/>
    <d v="2011-05-16T00:00:00"/>
    <d v="2016-06-08T00:00:00"/>
    <s v="unhappy"/>
    <x v="1"/>
    <x v="0"/>
    <s v="Webster Butler"/>
    <n v="48"/>
    <n v="5"/>
  </r>
  <r>
    <s v="Del Bosque, Keyla"/>
    <n v="10155"/>
    <n v="0"/>
    <n v="101199"/>
    <x v="3"/>
    <d v="1979-07-05T00:00:00"/>
    <x v="1"/>
    <s v="US Citizen"/>
    <d v="2012-01-09T00:00:00"/>
    <m/>
    <s v="N/A-StillEmployed"/>
    <x v="0"/>
    <x v="2"/>
    <s v="Alex Sweetwater"/>
    <n v="46"/>
    <n v="13"/>
  </r>
  <r>
    <s v="Delarge, Alex"/>
    <n v="10306"/>
    <n v="1"/>
    <n v="61568"/>
    <x v="11"/>
    <d v="1975-11-02T00:00:00"/>
    <x v="0"/>
    <s v="US Citizen"/>
    <d v="2014-09-29T00:00:00"/>
    <m/>
    <s v="N/A-StillEmployed"/>
    <x v="0"/>
    <x v="4"/>
    <s v="John Smith"/>
    <n v="50"/>
    <n v="11"/>
  </r>
  <r>
    <s v="Demita, Carla"/>
    <n v="10100"/>
    <n v="0"/>
    <n v="58275"/>
    <x v="2"/>
    <d v="1951-02-25T00:00:00"/>
    <x v="1"/>
    <s v="US Citizen"/>
    <d v="2011-04-04T00:00:00"/>
    <d v="2015-11-04T00:00:00"/>
    <s v="more money"/>
    <x v="1"/>
    <x v="0"/>
    <s v="Kelley Spirea"/>
    <n v="74"/>
    <n v="4"/>
  </r>
  <r>
    <s v="Desimone, Carl"/>
    <n v="10310"/>
    <n v="1"/>
    <n v="53189"/>
    <x v="0"/>
    <d v="1967-04-19T00:00:00"/>
    <x v="0"/>
    <s v="US Citizen"/>
    <d v="2014-07-07T00:00:00"/>
    <m/>
    <s v="N/A-StillEmployed"/>
    <x v="0"/>
    <x v="0"/>
    <s v="Amy Dunn"/>
    <n v="58"/>
    <n v="11"/>
  </r>
  <r>
    <s v="DeVito, Tommy"/>
    <n v="10197"/>
    <n v="1"/>
    <n v="96820"/>
    <x v="17"/>
    <d v="1983-09-04T00:00:00"/>
    <x v="0"/>
    <s v="US Citizen"/>
    <d v="2017-02-15T00:00:00"/>
    <m/>
    <s v="N/A-StillEmployed"/>
    <x v="0"/>
    <x v="1"/>
    <s v="Brian Champaigne"/>
    <n v="42"/>
    <n v="8"/>
  </r>
  <r>
    <s v="Dickinson, Geoff"/>
    <n v="10276"/>
    <n v="1"/>
    <n v="51259"/>
    <x v="0"/>
    <d v="1982-11-15T00:00:00"/>
    <x v="0"/>
    <s v="US Citizen"/>
    <d v="2014-05-12T00:00:00"/>
    <m/>
    <s v="N/A-StillEmployed"/>
    <x v="0"/>
    <x v="0"/>
    <s v="Ketsia Liebig"/>
    <n v="43"/>
    <n v="11"/>
  </r>
  <r>
    <s v="Dietrich, Jenna"/>
    <n v="10304"/>
    <n v="0"/>
    <n v="59231"/>
    <x v="11"/>
    <d v="1987-05-14T00:00:00"/>
    <x v="1"/>
    <s v="US Citizen"/>
    <d v="2012-02-20T00:00:00"/>
    <m/>
    <s v="N/A-StillEmployed"/>
    <x v="0"/>
    <x v="4"/>
    <s v="John Smith"/>
    <n v="38"/>
    <n v="13"/>
  </r>
  <r>
    <s v="DiNocco, Lily"/>
    <n v="10284"/>
    <n v="0"/>
    <n v="61584"/>
    <x v="0"/>
    <d v="1978-12-02T00:00:00"/>
    <x v="1"/>
    <s v="US Citizen"/>
    <d v="2013-01-07T00:00:00"/>
    <m/>
    <s v="N/A-StillEmployed"/>
    <x v="0"/>
    <x v="0"/>
    <s v="Brannon Miller"/>
    <n v="46"/>
    <n v="12"/>
  </r>
  <r>
    <s v="Dobrin, Denisa  S"/>
    <n v="10207"/>
    <n v="0"/>
    <n v="46335"/>
    <x v="0"/>
    <d v="1986-10-07T00:00:00"/>
    <x v="1"/>
    <s v="US Citizen"/>
    <d v="2012-04-02T00:00:00"/>
    <m/>
    <s v="N/A-StillEmployed"/>
    <x v="0"/>
    <x v="0"/>
    <s v="David Stanley"/>
    <n v="39"/>
    <n v="13"/>
  </r>
  <r>
    <s v="Dolan, Linda"/>
    <n v="10133"/>
    <n v="0"/>
    <n v="70621"/>
    <x v="4"/>
    <d v="1988-07-18T00:00:00"/>
    <x v="1"/>
    <s v="US Citizen"/>
    <d v="2015-01-05T00:00:00"/>
    <m/>
    <s v="N/A-StillEmployed"/>
    <x v="0"/>
    <x v="1"/>
    <s v="Peter Monroe"/>
    <n v="37"/>
    <n v="10"/>
  </r>
  <r>
    <s v="Dougall, Eric"/>
    <n v="10028"/>
    <n v="1"/>
    <n v="138888"/>
    <x v="18"/>
    <d v="1970-07-09T00:00:00"/>
    <x v="0"/>
    <s v="US Citizen"/>
    <d v="2014-01-05T00:00:00"/>
    <m/>
    <s v="N/A-StillEmployed"/>
    <x v="0"/>
    <x v="1"/>
    <s v="Jennifer Zamora"/>
    <n v="55"/>
    <n v="11"/>
  </r>
  <r>
    <s v="Driver, Elle"/>
    <n v="10006"/>
    <n v="0"/>
    <n v="74241"/>
    <x v="11"/>
    <d v="1988-11-08T00:00:00"/>
    <x v="1"/>
    <s v="US Citizen"/>
    <d v="2011-01-10T00:00:00"/>
    <m/>
    <s v="N/A-StillEmployed"/>
    <x v="0"/>
    <x v="4"/>
    <s v="Lynn Daneault"/>
    <n v="37"/>
    <n v="14"/>
  </r>
  <r>
    <s v="Dunn, Amy"/>
    <n v="10105"/>
    <n v="0"/>
    <n v="75188"/>
    <x v="9"/>
    <d v="1973-11-28T00:00:00"/>
    <x v="1"/>
    <s v="US Citizen"/>
    <d v="2014-09-18T00:00:00"/>
    <m/>
    <s v="N/A-StillEmployed"/>
    <x v="0"/>
    <x v="0"/>
    <s v="Janet King"/>
    <n v="52"/>
    <n v="11"/>
  </r>
  <r>
    <s v="Dunne, Amy"/>
    <n v="10211"/>
    <n v="0"/>
    <n v="62514"/>
    <x v="0"/>
    <d v="1973-09-23T00:00:00"/>
    <x v="1"/>
    <s v="US Citizen"/>
    <d v="2010-04-26T00:00:00"/>
    <m/>
    <s v="N/A-StillEmployed"/>
    <x v="0"/>
    <x v="0"/>
    <s v="Ketsia Liebig"/>
    <n v="52"/>
    <n v="15"/>
  </r>
  <r>
    <s v="Eaton, Marianne"/>
    <n v="10064"/>
    <n v="0"/>
    <n v="60070"/>
    <x v="0"/>
    <d v="1991-09-05T00:00:00"/>
    <x v="1"/>
    <s v="US Citizen"/>
    <d v="2011-04-04T00:00:00"/>
    <d v="2017-06-06T00:00:00"/>
    <s v="military"/>
    <x v="1"/>
    <x v="0"/>
    <s v="Kissy Sullivan"/>
    <n v="34"/>
    <n v="6"/>
  </r>
  <r>
    <s v="Engdahl, Jean"/>
    <n v="10247"/>
    <n v="1"/>
    <n v="48888"/>
    <x v="0"/>
    <d v="1974-05-31T00:00:00"/>
    <x v="0"/>
    <s v="US Citizen"/>
    <d v="2014-11-10T00:00:00"/>
    <m/>
    <s v="N/A-StillEmployed"/>
    <x v="0"/>
    <x v="0"/>
    <s v="Kelley Spirea"/>
    <n v="51"/>
    <n v="11"/>
  </r>
  <r>
    <s v="England, Rex"/>
    <n v="10235"/>
    <n v="1"/>
    <n v="54285"/>
    <x v="0"/>
    <d v="1978-08-25T00:00:00"/>
    <x v="0"/>
    <s v="US Citizen"/>
    <d v="2014-03-31T00:00:00"/>
    <m/>
    <s v="N/A-StillEmployed"/>
    <x v="0"/>
    <x v="0"/>
    <s v="Kelley Spirea"/>
    <n v="47"/>
    <n v="11"/>
  </r>
  <r>
    <s v="Erilus, Angela"/>
    <n v="10299"/>
    <n v="0"/>
    <n v="56847"/>
    <x v="2"/>
    <d v="1989-08-25T00:00:00"/>
    <x v="1"/>
    <s v="US Citizen"/>
    <d v="2014-07-07T00:00:00"/>
    <m/>
    <s v="N/A-StillEmployed"/>
    <x v="0"/>
    <x v="0"/>
    <s v="Michael Albert"/>
    <n v="36"/>
    <n v="11"/>
  </r>
  <r>
    <s v="Estremera, Miguel"/>
    <n v="10280"/>
    <n v="1"/>
    <n v="60340"/>
    <x v="0"/>
    <d v="1983-09-02T00:00:00"/>
    <x v="0"/>
    <s v="US Citizen"/>
    <d v="2012-04-02T00:00:00"/>
    <d v="2018-09-27T00:00:00"/>
    <s v="attendance"/>
    <x v="2"/>
    <x v="0"/>
    <s v="Michael Albert"/>
    <n v="42"/>
    <n v="6"/>
  </r>
  <r>
    <s v="Evensen, April"/>
    <n v="10296"/>
    <n v="0"/>
    <n v="59124"/>
    <x v="0"/>
    <d v="1989-05-06T00:00:00"/>
    <x v="1"/>
    <s v="US Citizen"/>
    <d v="2014-02-17T00:00:00"/>
    <d v="2018-02-25T00:00:00"/>
    <s v="no-call, no-show"/>
    <x v="2"/>
    <x v="0"/>
    <s v="Elijiah Gray"/>
    <n v="36"/>
    <n v="4"/>
  </r>
  <r>
    <s v="Exantus, Susan"/>
    <n v="10290"/>
    <n v="0"/>
    <n v="99280"/>
    <x v="3"/>
    <d v="1987-05-15T00:00:00"/>
    <x v="1"/>
    <s v="US Citizen"/>
    <d v="2011-05-02T00:00:00"/>
    <d v="2013-06-05T00:00:00"/>
    <s v="attendance"/>
    <x v="2"/>
    <x v="2"/>
    <s v="Alex Sweetwater"/>
    <n v="38"/>
    <n v="2"/>
  </r>
  <r>
    <s v="Faller, Megan"/>
    <n v="10263"/>
    <n v="0"/>
    <n v="71776"/>
    <x v="2"/>
    <d v="1978-09-22T00:00:00"/>
    <x v="1"/>
    <s v="US Citizen"/>
    <d v="2014-07-07T00:00:00"/>
    <m/>
    <s v="N/A-StillEmployed"/>
    <x v="0"/>
    <x v="0"/>
    <s v="Elijiah Gray"/>
    <n v="47"/>
    <n v="11"/>
  </r>
  <r>
    <s v="Fancett, Nicole"/>
    <n v="10136"/>
    <n v="0"/>
    <n v="65902"/>
    <x v="2"/>
    <d v="1987-09-27T00:00:00"/>
    <x v="1"/>
    <s v="US Citizen"/>
    <d v="2014-02-17T00:00:00"/>
    <m/>
    <s v="N/A-StillEmployed"/>
    <x v="0"/>
    <x v="0"/>
    <s v="Webster Butler"/>
    <n v="38"/>
    <n v="11"/>
  </r>
  <r>
    <s v="Ferguson, Susan"/>
    <n v="10189"/>
    <n v="0"/>
    <n v="57748"/>
    <x v="0"/>
    <d v="1955-04-14T00:00:00"/>
    <x v="1"/>
    <s v="US Citizen"/>
    <d v="2011-11-07T00:00:00"/>
    <d v="2016-05-17T00:00:00"/>
    <s v="military"/>
    <x v="1"/>
    <x v="0"/>
    <s v="Webster Butler"/>
    <n v="70"/>
    <n v="4"/>
  </r>
  <r>
    <s v="Fernandes, Nilson"/>
    <n v="10308"/>
    <n v="1"/>
    <n v="64057"/>
    <x v="0"/>
    <d v="1989-10-18T00:00:00"/>
    <x v="0"/>
    <s v="US Citizen"/>
    <d v="2015-05-11T00:00:00"/>
    <m/>
    <s v="N/A-StillEmployed"/>
    <x v="0"/>
    <x v="0"/>
    <s v="Amy Dunn"/>
    <n v="36"/>
    <n v="10"/>
  </r>
  <r>
    <s v="Fett, Boba"/>
    <n v="10309"/>
    <n v="1"/>
    <n v="53366"/>
    <x v="19"/>
    <d v="1987-06-18T00:00:00"/>
    <x v="0"/>
    <s v="US Citizen"/>
    <d v="2015-03-30T00:00:00"/>
    <m/>
    <s v="N/A-StillEmployed"/>
    <x v="0"/>
    <x v="1"/>
    <s v="Peter Monroe"/>
    <n v="38"/>
    <n v="10"/>
  </r>
  <r>
    <s v="Fidelia,  Libby"/>
    <n v="10049"/>
    <n v="0"/>
    <n v="58530"/>
    <x v="0"/>
    <d v="1981-03-16T00:00:00"/>
    <x v="1"/>
    <s v="US Citizen"/>
    <d v="2012-01-09T00:00:00"/>
    <m/>
    <s v="N/A-StillEmployed"/>
    <x v="0"/>
    <x v="0"/>
    <s v="Brannon Miller"/>
    <n v="44"/>
    <n v="13"/>
  </r>
  <r>
    <s v="Fitzpatrick, Michael  J"/>
    <n v="10093"/>
    <n v="1"/>
    <n v="72609"/>
    <x v="2"/>
    <d v="1981-10-01T00:00:00"/>
    <x v="0"/>
    <s v="US Citizen"/>
    <d v="2011-05-16T00:00:00"/>
    <d v="2013-06-24T00:00:00"/>
    <s v="hours"/>
    <x v="1"/>
    <x v="0"/>
    <s v="Amy Dunn"/>
    <n v="44"/>
    <n v="2"/>
  </r>
  <r>
    <s v="Foreman, Tanya"/>
    <n v="10163"/>
    <n v="0"/>
    <n v="55965"/>
    <x v="2"/>
    <d v="1983-11-08T00:00:00"/>
    <x v="1"/>
    <s v="US Citizen"/>
    <d v="2011-04-04T00:00:00"/>
    <d v="2013-01-09T00:00:00"/>
    <s v="career change"/>
    <x v="1"/>
    <x v="0"/>
    <s v="Ketsia Liebig"/>
    <n v="42"/>
    <n v="1"/>
  </r>
  <r>
    <s v="Forrest, Alex"/>
    <n v="10305"/>
    <n v="1"/>
    <n v="70187"/>
    <x v="11"/>
    <d v="1975-07-07T00:00:00"/>
    <x v="0"/>
    <s v="US Citizen"/>
    <d v="2014-09-29T00:00:00"/>
    <d v="2018-08-19T00:00:00"/>
    <s v="Fatal attraction"/>
    <x v="2"/>
    <x v="4"/>
    <s v="Lynn Daneault"/>
    <n v="50"/>
    <n v="3"/>
  </r>
  <r>
    <s v="Foss, Jason"/>
    <n v="10015"/>
    <n v="1"/>
    <n v="178000"/>
    <x v="20"/>
    <d v="1980-07-05T00:00:00"/>
    <x v="0"/>
    <s v="US Citizen"/>
    <d v="2011-04-15T00:00:00"/>
    <m/>
    <s v="N/A-StillEmployed"/>
    <x v="0"/>
    <x v="1"/>
    <s v="Jennifer Zamora"/>
    <n v="45"/>
    <n v="14"/>
  </r>
  <r>
    <s v="Foster-Baker, Amy"/>
    <n v="10080"/>
    <n v="0"/>
    <n v="99351"/>
    <x v="8"/>
    <d v="1979-04-16T00:00:00"/>
    <x v="1"/>
    <s v="US Citizen"/>
    <d v="2009-01-05T00:00:00"/>
    <m/>
    <s v="N/A-StillEmployed"/>
    <x v="0"/>
    <x v="3"/>
    <s v="Board of Directors"/>
    <n v="46"/>
    <n v="16"/>
  </r>
  <r>
    <s v="Fraval, Maruk"/>
    <n v="10258"/>
    <n v="1"/>
    <n v="67251"/>
    <x v="11"/>
    <d v="1963-08-28T00:00:00"/>
    <x v="0"/>
    <s v="US Citizen"/>
    <d v="2011-09-06T00:00:00"/>
    <m/>
    <s v="N/A-StillEmployed"/>
    <x v="0"/>
    <x v="4"/>
    <s v="Lynn Daneault"/>
    <n v="62"/>
    <n v="14"/>
  </r>
  <r>
    <s v="Galia, Lisa"/>
    <n v="10273"/>
    <n v="0"/>
    <n v="65707"/>
    <x v="4"/>
    <d v="1968-07-06T00:00:00"/>
    <x v="1"/>
    <s v="US Citizen"/>
    <d v="2010-05-01T00:00:00"/>
    <m/>
    <s v="N/A-StillEmployed"/>
    <x v="0"/>
    <x v="1"/>
    <s v="Eric Dougall"/>
    <n v="57"/>
    <n v="15"/>
  </r>
  <r>
    <s v="Garcia, Raul"/>
    <n v="10111"/>
    <n v="1"/>
    <n v="52249"/>
    <x v="0"/>
    <d v="1985-09-15T00:00:00"/>
    <x v="0"/>
    <s v="US Citizen"/>
    <d v="2015-03-30T00:00:00"/>
    <m/>
    <s v="N/A-StillEmployed"/>
    <x v="0"/>
    <x v="0"/>
    <s v="David Stanley"/>
    <n v="40"/>
    <n v="10"/>
  </r>
  <r>
    <s v="Gaul, Barbara"/>
    <n v="10257"/>
    <n v="0"/>
    <n v="53171"/>
    <x v="0"/>
    <d v="1983-12-02T00:00:00"/>
    <x v="1"/>
    <s v="US Citizen"/>
    <d v="2011-05-16T00:00:00"/>
    <m/>
    <s v="N/A-StillEmployed"/>
    <x v="0"/>
    <x v="0"/>
    <s v="Kelley Spirea"/>
    <n v="41"/>
    <n v="14"/>
  </r>
  <r>
    <s v="Gentry, Mildred"/>
    <n v="10159"/>
    <n v="0"/>
    <n v="51337"/>
    <x v="0"/>
    <d v="1990-10-01T00:00:00"/>
    <x v="1"/>
    <s v="US Citizen"/>
    <d v="2015-03-30T00:00:00"/>
    <m/>
    <s v="N/A-StillEmployed"/>
    <x v="0"/>
    <x v="0"/>
    <s v="Michael Albert"/>
    <n v="35"/>
    <n v="10"/>
  </r>
  <r>
    <s v="Gerke, Melisa"/>
    <n v="10122"/>
    <n v="0"/>
    <n v="51505"/>
    <x v="0"/>
    <d v="1970-05-15T00:00:00"/>
    <x v="1"/>
    <s v="US Citizen"/>
    <d v="2011-11-07T00:00:00"/>
    <d v="2016-11-15T00:00:00"/>
    <s v="hours"/>
    <x v="1"/>
    <x v="0"/>
    <s v="Elijiah Gray"/>
    <n v="55"/>
    <n v="5"/>
  </r>
  <r>
    <s v="Gill, Whitney"/>
    <n v="10142"/>
    <n v="0"/>
    <n v="59370"/>
    <x v="11"/>
    <d v="1971-07-10T00:00:00"/>
    <x v="1"/>
    <s v="US Citizen"/>
    <d v="2014-07-07T00:00:00"/>
    <d v="2015-09-05T00:00:00"/>
    <s v="attendance"/>
    <x v="2"/>
    <x v="4"/>
    <s v="John Smith"/>
    <n v="54"/>
    <n v="1"/>
  </r>
  <r>
    <s v="Gilles, Alex"/>
    <n v="10283"/>
    <n v="1"/>
    <n v="54933"/>
    <x v="0"/>
    <d v="1974-08-09T00:00:00"/>
    <x v="0"/>
    <s v="US Citizen"/>
    <d v="2012-04-02T00:00:00"/>
    <d v="2015-06-25T00:00:00"/>
    <s v="military"/>
    <x v="1"/>
    <x v="0"/>
    <s v="Webster Butler"/>
    <n v="51"/>
    <n v="3"/>
  </r>
  <r>
    <s v="Girifalco, Evelyn"/>
    <n v="10018"/>
    <n v="0"/>
    <n v="57815"/>
    <x v="0"/>
    <d v="1980-05-08T00:00:00"/>
    <x v="1"/>
    <s v="US Citizen"/>
    <d v="2014-09-29T00:00:00"/>
    <m/>
    <s v="N/A-StillEmployed"/>
    <x v="0"/>
    <x v="0"/>
    <s v="Amy Dunn"/>
    <n v="45"/>
    <n v="11"/>
  </r>
  <r>
    <s v="Givens, Myriam"/>
    <n v="10255"/>
    <n v="0"/>
    <n v="61555"/>
    <x v="11"/>
    <d v="1989-09-22T00:00:00"/>
    <x v="1"/>
    <s v="US Citizen"/>
    <d v="2015-02-16T00:00:00"/>
    <m/>
    <s v="N/A-StillEmployed"/>
    <x v="0"/>
    <x v="4"/>
    <s v="Lynn Daneault"/>
    <n v="36"/>
    <n v="10"/>
  </r>
  <r>
    <s v="Goble, Taisha"/>
    <n v="10246"/>
    <n v="0"/>
    <n v="114800"/>
    <x v="6"/>
    <d v="1971-10-23T00:00:00"/>
    <x v="1"/>
    <s v="US Citizen"/>
    <d v="2015-02-16T00:00:00"/>
    <d v="2015-03-15T00:00:00"/>
    <s v="no-call, no-show"/>
    <x v="2"/>
    <x v="1"/>
    <s v="Simon Roup"/>
    <n v="54"/>
    <n v="0"/>
  </r>
  <r>
    <s v="Goeth, Amon"/>
    <n v="10228"/>
    <n v="1"/>
    <n v="74679"/>
    <x v="4"/>
    <d v="1989-11-24T00:00:00"/>
    <x v="0"/>
    <s v="US Citizen"/>
    <d v="2015-03-30T00:00:00"/>
    <m/>
    <s v="N/A-StillEmployed"/>
    <x v="0"/>
    <x v="1"/>
    <s v="Peter Monroe"/>
    <n v="36"/>
    <n v="10"/>
  </r>
  <r>
    <s v="Gold, Shenice"/>
    <n v="10243"/>
    <n v="0"/>
    <n v="53018"/>
    <x v="0"/>
    <d v="1992-06-18T00:00:00"/>
    <x v="1"/>
    <s v="US Citizen"/>
    <d v="2013-11-11T00:00:00"/>
    <m/>
    <s v="N/A-StillEmployed"/>
    <x v="0"/>
    <x v="0"/>
    <s v="Ketsia Liebig"/>
    <n v="33"/>
    <n v="12"/>
  </r>
  <r>
    <s v="Gonzalez, Cayo"/>
    <n v="10031"/>
    <n v="1"/>
    <n v="59892"/>
    <x v="0"/>
    <d v="1969-09-29T00:00:00"/>
    <x v="0"/>
    <s v="US Citizen"/>
    <d v="2011-07-11T00:00:00"/>
    <m/>
    <s v="N/A-StillEmployed"/>
    <x v="0"/>
    <x v="0"/>
    <s v="Brannon Miller"/>
    <n v="56"/>
    <n v="14"/>
  </r>
  <r>
    <s v="Gonzalez, Juan"/>
    <n v="10300"/>
    <n v="1"/>
    <n v="68898"/>
    <x v="2"/>
    <d v="1964-10-12T00:00:00"/>
    <x v="0"/>
    <s v="US Citizen"/>
    <d v="2010-04-26T00:00:00"/>
    <d v="2011-05-30T00:00:00"/>
    <s v="career change"/>
    <x v="1"/>
    <x v="0"/>
    <s v="Brannon Miller"/>
    <n v="61"/>
    <n v="1"/>
  </r>
  <r>
    <s v="Gonzalez, Maria"/>
    <n v="10101"/>
    <n v="0"/>
    <n v="61242"/>
    <x v="4"/>
    <d v="1981-04-16T00:00:00"/>
    <x v="1"/>
    <s v="US Citizen"/>
    <d v="2015-01-05T00:00:00"/>
    <m/>
    <s v="N/A-StillEmployed"/>
    <x v="0"/>
    <x v="1"/>
    <s v="Peter Monroe"/>
    <n v="44"/>
    <n v="10"/>
  </r>
  <r>
    <s v="Good, Susan"/>
    <n v="10237"/>
    <n v="0"/>
    <n v="66825"/>
    <x v="2"/>
    <d v="1986-05-25T00:00:00"/>
    <x v="1"/>
    <s v="US Citizen"/>
    <d v="2014-05-12T00:00:00"/>
    <m/>
    <s v="N/A-StillEmployed"/>
    <x v="0"/>
    <x v="0"/>
    <s v="David Stanley"/>
    <n v="39"/>
    <n v="11"/>
  </r>
  <r>
    <s v="Gordon, David"/>
    <n v="10051"/>
    <n v="1"/>
    <n v="48285"/>
    <x v="0"/>
    <d v="1979-05-21T00:00:00"/>
    <x v="0"/>
    <s v="US Citizen"/>
    <d v="2012-07-02T00:00:00"/>
    <m/>
    <s v="N/A-StillEmployed"/>
    <x v="0"/>
    <x v="0"/>
    <s v="David Stanley"/>
    <n v="46"/>
    <n v="13"/>
  </r>
  <r>
    <s v="Gosciminski, Phylicia"/>
    <n v="10218"/>
    <n v="0"/>
    <n v="66149"/>
    <x v="2"/>
    <d v="1983-12-08T00:00:00"/>
    <x v="1"/>
    <s v="US Citizen"/>
    <d v="2013-09-30T00:00:00"/>
    <m/>
    <s v="N/A-StillEmployed"/>
    <x v="0"/>
    <x v="0"/>
    <s v="Kissy Sullivan"/>
    <n v="41"/>
    <n v="12"/>
  </r>
  <r>
    <s v="Goyal, Roxana"/>
    <n v="10256"/>
    <n v="0"/>
    <n v="49256"/>
    <x v="0"/>
    <d v="1974-10-09T00:00:00"/>
    <x v="1"/>
    <s v="US Citizen"/>
    <d v="2013-08-19T00:00:00"/>
    <m/>
    <s v="N/A-StillEmployed"/>
    <x v="0"/>
    <x v="0"/>
    <s v="Kissy Sullivan"/>
    <n v="51"/>
    <n v="12"/>
  </r>
  <r>
    <s v="Gray, Elijiah"/>
    <n v="10098"/>
    <n v="1"/>
    <n v="62957"/>
    <x v="9"/>
    <d v="1981-07-11T00:00:00"/>
    <x v="0"/>
    <s v="US Citizen"/>
    <d v="2015-06-02T00:00:00"/>
    <m/>
    <s v="N/A-StillEmployed"/>
    <x v="0"/>
    <x v="0"/>
    <s v="Janet King"/>
    <n v="44"/>
    <n v="10"/>
  </r>
  <r>
    <s v="Gross, Paula"/>
    <n v="10059"/>
    <n v="0"/>
    <n v="63813"/>
    <x v="0"/>
    <d v="1983-05-21T00:00:00"/>
    <x v="1"/>
    <s v="US Citizen"/>
    <d v="2011-02-21T00:00:00"/>
    <d v="2014-01-11T00:00:00"/>
    <s v="more money"/>
    <x v="1"/>
    <x v="0"/>
    <s v="Kelley Spirea"/>
    <n v="42"/>
    <n v="2"/>
  </r>
  <r>
    <s v="Gruber, Hans"/>
    <n v="10234"/>
    <n v="1"/>
    <n v="99020"/>
    <x v="17"/>
    <d v="1989-06-30T00:00:00"/>
    <x v="0"/>
    <s v="US Citizen"/>
    <d v="2017-04-20T00:00:00"/>
    <m/>
    <s v="N/A-StillEmployed"/>
    <x v="0"/>
    <x v="1"/>
    <s v="Brian Champaigne"/>
    <n v="36"/>
    <n v="8"/>
  </r>
  <r>
    <s v="Guilianno, Mike"/>
    <n v="10109"/>
    <n v="1"/>
    <n v="71707"/>
    <x v="11"/>
    <d v="1969-02-09T00:00:00"/>
    <x v="0"/>
    <s v="US Citizen"/>
    <d v="2012-03-07T00:00:00"/>
    <d v="2014-10-31T00:00:00"/>
    <s v="relocation out of area"/>
    <x v="1"/>
    <x v="4"/>
    <s v="John Smith"/>
    <n v="56"/>
    <n v="2"/>
  </r>
  <r>
    <s v="Handschiegl, Joanne"/>
    <n v="10125"/>
    <n v="0"/>
    <n v="54828"/>
    <x v="0"/>
    <d v="1977-03-23T00:00:00"/>
    <x v="1"/>
    <s v="US Citizen"/>
    <d v="2011-11-28T00:00:00"/>
    <m/>
    <s v="N/A-StillEmployed"/>
    <x v="0"/>
    <x v="0"/>
    <s v="Michael Albert"/>
    <n v="48"/>
    <n v="14"/>
  </r>
  <r>
    <s v="Hankard, Earnest"/>
    <n v="10074"/>
    <n v="1"/>
    <n v="64246"/>
    <x v="2"/>
    <d v="1988-08-10T00:00:00"/>
    <x v="0"/>
    <s v="US Citizen"/>
    <d v="2013-11-11T00:00:00"/>
    <m/>
    <s v="N/A-StillEmployed"/>
    <x v="0"/>
    <x v="0"/>
    <s v="Kelley Spirea"/>
    <n v="37"/>
    <n v="12"/>
  </r>
  <r>
    <s v="Harrington, Christie"/>
    <n v="10097"/>
    <n v="0"/>
    <n v="52177"/>
    <x v="0"/>
    <d v="1952-08-18T00:00:00"/>
    <x v="1"/>
    <s v="US Citizen"/>
    <d v="2012-01-09T00:00:00"/>
    <d v="2015-12-15T00:00:00"/>
    <s v="retiring"/>
    <x v="1"/>
    <x v="0"/>
    <s v="Webster Butler"/>
    <n v="73"/>
    <n v="3"/>
  </r>
  <r>
    <s v="Harrison, Kara"/>
    <n v="10007"/>
    <n v="0"/>
    <n v="62065"/>
    <x v="0"/>
    <d v="1974-05-02T00:00:00"/>
    <x v="1"/>
    <s v="US Citizen"/>
    <d v="2014-05-12T00:00:00"/>
    <m/>
    <s v="N/A-StillEmployed"/>
    <x v="0"/>
    <x v="0"/>
    <s v="Amy Dunn"/>
    <n v="51"/>
    <n v="11"/>
  </r>
  <r>
    <s v="Heitzman, Anthony"/>
    <n v="10129"/>
    <n v="1"/>
    <n v="46998"/>
    <x v="0"/>
    <d v="1984-01-04T00:00:00"/>
    <x v="0"/>
    <s v="US Citizen"/>
    <d v="2012-08-13T00:00:00"/>
    <m/>
    <s v="N/A-StillEmployed"/>
    <x v="0"/>
    <x v="0"/>
    <s v="Ketsia Liebig"/>
    <n v="41"/>
    <n v="13"/>
  </r>
  <r>
    <s v="Hendrickson, Trina"/>
    <n v="10075"/>
    <n v="0"/>
    <n v="68099"/>
    <x v="2"/>
    <d v="1972-08-27T00:00:00"/>
    <x v="1"/>
    <s v="US Citizen"/>
    <d v="2011-01-10T00:00:00"/>
    <d v="2013-06-18T00:00:00"/>
    <s v="hours"/>
    <x v="1"/>
    <x v="0"/>
    <s v="Kelley Spirea"/>
    <n v="53"/>
    <n v="2"/>
  </r>
  <r>
    <s v="Hitchcock, Alfred"/>
    <n v="10167"/>
    <n v="1"/>
    <n v="70545"/>
    <x v="11"/>
    <d v="1988-09-14T00:00:00"/>
    <x v="0"/>
    <s v="US Citizen"/>
    <d v="2014-08-18T00:00:00"/>
    <m/>
    <s v="N/A-StillEmployed"/>
    <x v="0"/>
    <x v="4"/>
    <s v="John Smith"/>
    <n v="37"/>
    <n v="11"/>
  </r>
  <r>
    <s v="Homberger, Adrienne  J"/>
    <n v="10195"/>
    <n v="0"/>
    <n v="63478"/>
    <x v="2"/>
    <d v="1984-02-16T00:00:00"/>
    <x v="1"/>
    <s v="Non-Citizen"/>
    <d v="2011-08-15T00:00:00"/>
    <d v="2012-04-07T00:00:00"/>
    <s v="relocation out of area"/>
    <x v="1"/>
    <x v="0"/>
    <s v="Michael Albert"/>
    <n v="41"/>
    <n v="0"/>
  </r>
  <r>
    <s v="Horton, Jayne"/>
    <n v="10112"/>
    <n v="0"/>
    <n v="97999"/>
    <x v="6"/>
    <d v="1984-02-21T00:00:00"/>
    <x v="1"/>
    <s v="US Citizen"/>
    <d v="2015-03-30T00:00:00"/>
    <m/>
    <s v="N/A-StillEmployed"/>
    <x v="0"/>
    <x v="1"/>
    <s v="Simon Roup"/>
    <n v="41"/>
    <n v="10"/>
  </r>
  <r>
    <s v="Houlihan, Debra"/>
    <n v="10272"/>
    <n v="0"/>
    <n v="180000"/>
    <x v="21"/>
    <d v="1966-03-17T00:00:00"/>
    <x v="1"/>
    <s v="US Citizen"/>
    <d v="2014-05-05T00:00:00"/>
    <m/>
    <s v="N/A-StillEmployed"/>
    <x v="0"/>
    <x v="4"/>
    <s v="Janet King"/>
    <n v="59"/>
    <n v="11"/>
  </r>
  <r>
    <s v="Howard, Estelle"/>
    <n v="10182"/>
    <n v="0"/>
    <n v="49920"/>
    <x v="22"/>
    <d v="1985-09-16T00:00:00"/>
    <x v="1"/>
    <s v="US Citizen"/>
    <d v="2015-02-16T00:00:00"/>
    <d v="2015-04-15T00:00:00"/>
    <s v="no-call, no-show"/>
    <x v="2"/>
    <x v="3"/>
    <s v="Brandon R. LeBlanc"/>
    <n v="40"/>
    <n v="0"/>
  </r>
  <r>
    <s v="Hudson, Jane"/>
    <n v="10248"/>
    <n v="0"/>
    <n v="55425"/>
    <x v="0"/>
    <d v="1986-06-10T00:00:00"/>
    <x v="1"/>
    <s v="US Citizen"/>
    <d v="2012-02-20T00:00:00"/>
    <m/>
    <s v="N/A-StillEmployed"/>
    <x v="0"/>
    <x v="0"/>
    <s v="Ketsia Liebig"/>
    <n v="39"/>
    <n v="13"/>
  </r>
  <r>
    <s v="Hunts, Julissa"/>
    <n v="10201"/>
    <n v="0"/>
    <n v="69340"/>
    <x v="2"/>
    <d v="1984-03-11T00:00:00"/>
    <x v="1"/>
    <s v="US Citizen"/>
    <d v="2016-06-06T00:00:00"/>
    <m/>
    <s v="N/A-StillEmployed"/>
    <x v="0"/>
    <x v="0"/>
    <s v="Elijiah Gray"/>
    <n v="41"/>
    <n v="9"/>
  </r>
  <r>
    <s v="Hutter, Rosalie"/>
    <n v="10214"/>
    <n v="0"/>
    <n v="64995"/>
    <x v="2"/>
    <d v="1992-05-07T00:00:00"/>
    <x v="1"/>
    <s v="US Citizen"/>
    <d v="2015-06-05T00:00:00"/>
    <m/>
    <s v="N/A-StillEmployed"/>
    <x v="0"/>
    <x v="0"/>
    <s v="Webster Butler"/>
    <n v="33"/>
    <n v="10"/>
  </r>
  <r>
    <s v="Huynh, Ming"/>
    <n v="10160"/>
    <n v="0"/>
    <n v="68182"/>
    <x v="2"/>
    <d v="1976-09-22T00:00:00"/>
    <x v="1"/>
    <s v="US Citizen"/>
    <d v="2011-02-21T00:00:00"/>
    <d v="2013-04-01T00:00:00"/>
    <s v="unhappy"/>
    <x v="1"/>
    <x v="0"/>
    <s v="Amy Dunn"/>
    <n v="49"/>
    <n v="2"/>
  </r>
  <r>
    <s v="Immediato, Walter"/>
    <n v="10289"/>
    <n v="1"/>
    <n v="83082"/>
    <x v="9"/>
    <d v="1976-11-15T00:00:00"/>
    <x v="0"/>
    <s v="US Citizen"/>
    <d v="2011-02-21T00:00:00"/>
    <d v="2012-09-24T00:00:00"/>
    <s v="unhappy"/>
    <x v="1"/>
    <x v="0"/>
    <s v="Janet King"/>
    <n v="49"/>
    <n v="1"/>
  </r>
  <r>
    <s v="Ivey, Rose"/>
    <n v="10139"/>
    <n v="0"/>
    <n v="51908"/>
    <x v="0"/>
    <d v="1991-01-28T00:00:00"/>
    <x v="1"/>
    <s v="US Citizen"/>
    <d v="2013-08-19T00:00:00"/>
    <m/>
    <s v="N/A-StillEmployed"/>
    <x v="0"/>
    <x v="0"/>
    <s v="Brannon Miller"/>
    <n v="34"/>
    <n v="12"/>
  </r>
  <r>
    <s v="Jackson, Maryellen"/>
    <n v="10227"/>
    <n v="0"/>
    <n v="61242"/>
    <x v="0"/>
    <d v="1972-09-11T00:00:00"/>
    <x v="1"/>
    <s v="US Citizen"/>
    <d v="2012-11-05T00:00:00"/>
    <m/>
    <s v="N/A-StillEmployed"/>
    <x v="0"/>
    <x v="0"/>
    <s v="David Stanley"/>
    <n v="53"/>
    <n v="13"/>
  </r>
  <r>
    <s v="Jacobi, Hannah"/>
    <n v="10236"/>
    <n v="0"/>
    <n v="45069"/>
    <x v="0"/>
    <d v="1966-03-22T00:00:00"/>
    <x v="1"/>
    <s v="US Citizen"/>
    <d v="2013-09-30T00:00:00"/>
    <m/>
    <s v="N/A-StillEmployed"/>
    <x v="0"/>
    <x v="0"/>
    <s v="Kissy Sullivan"/>
    <n v="59"/>
    <n v="12"/>
  </r>
  <r>
    <s v="Jeannite, Tayana"/>
    <n v="10009"/>
    <n v="0"/>
    <n v="60724"/>
    <x v="2"/>
    <d v="1986-11-06T00:00:00"/>
    <x v="1"/>
    <s v="US Citizen"/>
    <d v="2011-07-05T00:00:00"/>
    <m/>
    <s v="N/A-StillEmployed"/>
    <x v="0"/>
    <x v="0"/>
    <s v="Ketsia Liebig"/>
    <n v="39"/>
    <n v="14"/>
  </r>
  <r>
    <s v="Jhaveri, Sneha"/>
    <n v="10060"/>
    <n v="0"/>
    <n v="60436"/>
    <x v="0"/>
    <d v="1964-04-13T00:00:00"/>
    <x v="1"/>
    <s v="US Citizen"/>
    <d v="2014-01-06T00:00:00"/>
    <m/>
    <s v="N/A-StillEmployed"/>
    <x v="0"/>
    <x v="0"/>
    <s v="Kelley Spirea"/>
    <n v="61"/>
    <n v="11"/>
  </r>
  <r>
    <s v="Johnson, George"/>
    <n v="10034"/>
    <n v="1"/>
    <n v="46837"/>
    <x v="0"/>
    <d v="1959-08-19T00:00:00"/>
    <x v="0"/>
    <s v="US Citizen"/>
    <d v="2011-11-07T00:00:00"/>
    <d v="2018-04-29T00:00:00"/>
    <s v="more money"/>
    <x v="1"/>
    <x v="0"/>
    <s v="Michael Albert"/>
    <n v="66"/>
    <n v="6"/>
  </r>
  <r>
    <s v="Johnson, Noelle"/>
    <n v="10156"/>
    <n v="0"/>
    <n v="105700"/>
    <x v="6"/>
    <d v="1986-11-07T00:00:00"/>
    <x v="1"/>
    <s v="US Citizen"/>
    <d v="2015-01-05T00:00:00"/>
    <m/>
    <s v="N/A-StillEmployed"/>
    <x v="0"/>
    <x v="1"/>
    <s v="Simon Roup"/>
    <n v="39"/>
    <n v="10"/>
  </r>
  <r>
    <s v="Johnston, Yen"/>
    <n v="10036"/>
    <n v="0"/>
    <n v="63322"/>
    <x v="2"/>
    <d v="1969-09-08T00:00:00"/>
    <x v="1"/>
    <s v="US Citizen"/>
    <d v="2014-07-07T00:00:00"/>
    <m/>
    <s v="N/A-StillEmployed"/>
    <x v="0"/>
    <x v="0"/>
    <s v="Brannon Miller"/>
    <n v="56"/>
    <n v="11"/>
  </r>
  <r>
    <s v="Jung, Judy"/>
    <n v="10138"/>
    <n v="0"/>
    <n v="61154"/>
    <x v="0"/>
    <d v="1986-04-17T00:00:00"/>
    <x v="1"/>
    <s v="US Citizen"/>
    <d v="2011-01-10T00:00:00"/>
    <d v="2016-04-01T00:00:00"/>
    <s v="unhappy"/>
    <x v="1"/>
    <x v="0"/>
    <s v="Elijiah Gray"/>
    <n v="39"/>
    <n v="5"/>
  </r>
  <r>
    <s v="Kampew, Donysha"/>
    <n v="10244"/>
    <n v="0"/>
    <n v="68999"/>
    <x v="16"/>
    <d v="1989-11-11T00:00:00"/>
    <x v="1"/>
    <s v="US Citizen"/>
    <d v="2011-11-07T00:00:00"/>
    <d v="2014-04-24T00:00:00"/>
    <s v="maternity leave - did not return"/>
    <x v="1"/>
    <x v="4"/>
    <s v="Debra Houlihan"/>
    <n v="36"/>
    <n v="2"/>
  </r>
  <r>
    <s v="Keatts, Kramer"/>
    <n v="10192"/>
    <n v="1"/>
    <n v="50482"/>
    <x v="0"/>
    <d v="1976-01-19T00:00:00"/>
    <x v="0"/>
    <s v="US Citizen"/>
    <d v="2013-09-30T00:00:00"/>
    <m/>
    <s v="N/A-StillEmployed"/>
    <x v="0"/>
    <x v="0"/>
    <s v="Michael Albert"/>
    <n v="49"/>
    <n v="12"/>
  </r>
  <r>
    <s v="Khemmich, Bartholemew"/>
    <n v="10231"/>
    <n v="1"/>
    <n v="65310"/>
    <x v="11"/>
    <d v="1979-11-27T00:00:00"/>
    <x v="0"/>
    <s v="US Citizen"/>
    <d v="2013-08-19T00:00:00"/>
    <m/>
    <s v="N/A-StillEmployed"/>
    <x v="0"/>
    <x v="4"/>
    <s v="Lynn Daneault"/>
    <n v="46"/>
    <n v="12"/>
  </r>
  <r>
    <s v="King, Janet"/>
    <n v="10089"/>
    <n v="0"/>
    <n v="250000"/>
    <x v="23"/>
    <d v="1954-09-21T00:00:00"/>
    <x v="1"/>
    <s v="US Citizen"/>
    <d v="2012-07-02T00:00:00"/>
    <m/>
    <s v="N/A-StillEmployed"/>
    <x v="0"/>
    <x v="5"/>
    <s v="Board of Directors"/>
    <n v="71"/>
    <n v="13"/>
  </r>
  <r>
    <s v="Kinsella, Kathleen"/>
    <n v="10166"/>
    <n v="0"/>
    <n v="54005"/>
    <x v="0"/>
    <d v="1973-12-08T00:00:00"/>
    <x v="1"/>
    <s v="US Citizen"/>
    <d v="2011-09-26T00:00:00"/>
    <d v="2015-06-04T00:00:00"/>
    <s v="more money"/>
    <x v="1"/>
    <x v="0"/>
    <s v="Webster Butler"/>
    <n v="51"/>
    <n v="3"/>
  </r>
  <r>
    <s v="Kirill, Alexandra"/>
    <n v="10170"/>
    <n v="0"/>
    <n v="45433"/>
    <x v="0"/>
    <d v="1970-10-08T00:00:00"/>
    <x v="1"/>
    <s v="US Citizen"/>
    <d v="2011-09-26T00:00:00"/>
    <d v="2014-01-09T00:00:00"/>
    <s v="more money"/>
    <x v="1"/>
    <x v="0"/>
    <s v="Amy Dunn"/>
    <n v="55"/>
    <n v="2"/>
  </r>
  <r>
    <s v="Knapp, Bradley  J"/>
    <n v="10208"/>
    <n v="1"/>
    <n v="46654"/>
    <x v="0"/>
    <d v="1977-11-10T00:00:00"/>
    <x v="0"/>
    <s v="US Citizen"/>
    <d v="2014-02-17T00:00:00"/>
    <m/>
    <s v="N/A-StillEmployed"/>
    <x v="0"/>
    <x v="0"/>
    <s v="Ketsia Liebig"/>
    <n v="48"/>
    <n v="11"/>
  </r>
  <r>
    <s v="Kretschmer, John"/>
    <n v="10176"/>
    <n v="1"/>
    <n v="63973"/>
    <x v="0"/>
    <d v="1980-02-02T00:00:00"/>
    <x v="0"/>
    <s v="US Citizen"/>
    <d v="2011-01-10T00:00:00"/>
    <m/>
    <s v="N/A-StillEmployed"/>
    <x v="0"/>
    <x v="0"/>
    <s v="Brannon Miller"/>
    <n v="45"/>
    <n v="14"/>
  </r>
  <r>
    <s v="Kreuger, Freddy"/>
    <n v="10165"/>
    <n v="1"/>
    <n v="71339"/>
    <x v="11"/>
    <d v="1969-02-24T00:00:00"/>
    <x v="0"/>
    <s v="US Citizen"/>
    <d v="2011-03-07T00:00:00"/>
    <m/>
    <s v="N/A-StillEmployed"/>
    <x v="0"/>
    <x v="4"/>
    <s v="John Smith"/>
    <n v="56"/>
    <n v="14"/>
  </r>
  <r>
    <s v="Lajiri,  Jyoti"/>
    <n v="10113"/>
    <n v="1"/>
    <n v="93206"/>
    <x v="15"/>
    <d v="1986-04-23T00:00:00"/>
    <x v="0"/>
    <s v="US Citizen"/>
    <d v="2014-11-10T00:00:00"/>
    <m/>
    <s v="N/A-StillEmployed"/>
    <x v="0"/>
    <x v="1"/>
    <s v="Peter Monroe"/>
    <n v="39"/>
    <n v="11"/>
  </r>
  <r>
    <s v="Landa, Hans"/>
    <n v="10092"/>
    <n v="1"/>
    <n v="82758"/>
    <x v="9"/>
    <d v="1972-07-01T00:00:00"/>
    <x v="0"/>
    <s v="US Citizen"/>
    <d v="2011-01-10T00:00:00"/>
    <d v="2015-12-12T00:00:00"/>
    <s v="attendance"/>
    <x v="2"/>
    <x v="0"/>
    <s v="Janet King"/>
    <n v="53"/>
    <n v="4"/>
  </r>
  <r>
    <s v="Langford, Lindsey"/>
    <n v="10106"/>
    <n v="0"/>
    <n v="66074"/>
    <x v="2"/>
    <d v="1979-07-25T00:00:00"/>
    <x v="1"/>
    <s v="US Citizen"/>
    <d v="2013-01-07T00:00:00"/>
    <d v="2014-03-31T00:00:00"/>
    <s v="Another position"/>
    <x v="1"/>
    <x v="0"/>
    <s v="David Stanley"/>
    <n v="46"/>
    <n v="1"/>
  </r>
  <r>
    <s v="Langton, Enrico"/>
    <n v="10052"/>
    <n v="1"/>
    <n v="46120"/>
    <x v="0"/>
    <d v="1986-12-09T00:00:00"/>
    <x v="0"/>
    <s v="US Citizen"/>
    <d v="2012-07-09T00:00:00"/>
    <m/>
    <s v="N/A-StillEmployed"/>
    <x v="0"/>
    <x v="0"/>
    <s v="David Stanley"/>
    <n v="38"/>
    <n v="13"/>
  </r>
  <r>
    <s v="LaRotonda, William"/>
    <n v="10038"/>
    <n v="1"/>
    <n v="64520"/>
    <x v="10"/>
    <d v="1984-04-26T00:00:00"/>
    <x v="0"/>
    <s v="US Citizen"/>
    <d v="2014-01-06T00:00:00"/>
    <m/>
    <s v="N/A-StillEmployed"/>
    <x v="0"/>
    <x v="3"/>
    <s v="Brandon R. LeBlanc"/>
    <n v="41"/>
    <n v="11"/>
  </r>
  <r>
    <s v="Latif, Mohammed"/>
    <n v="10249"/>
    <n v="1"/>
    <n v="61962"/>
    <x v="2"/>
    <d v="1984-05-09T00:00:00"/>
    <x v="0"/>
    <s v="US Citizen"/>
    <d v="2012-04-02T00:00:00"/>
    <d v="2013-04-15T00:00:00"/>
    <s v="more money"/>
    <x v="1"/>
    <x v="0"/>
    <s v="Kissy Sullivan"/>
    <n v="41"/>
    <n v="1"/>
  </r>
  <r>
    <s v="Le, Binh"/>
    <n v="10232"/>
    <n v="0"/>
    <n v="81584"/>
    <x v="24"/>
    <d v="1987-06-14T00:00:00"/>
    <x v="1"/>
    <s v="US Citizen"/>
    <d v="2016-10-02T00:00:00"/>
    <m/>
    <s v="N/A-StillEmployed"/>
    <x v="0"/>
    <x v="1"/>
    <s v="Brian Champaigne"/>
    <n v="38"/>
    <n v="9"/>
  </r>
  <r>
    <s v="Leach, Dallas"/>
    <n v="10087"/>
    <n v="0"/>
    <n v="63676"/>
    <x v="0"/>
    <d v="1979-01-17T00:00:00"/>
    <x v="1"/>
    <s v="US Citizen"/>
    <d v="2011-09-26T00:00:00"/>
    <d v="2018-08-19T00:00:00"/>
    <s v="return to school"/>
    <x v="1"/>
    <x v="0"/>
    <s v="Kissy Sullivan"/>
    <n v="46"/>
    <n v="6"/>
  </r>
  <r>
    <s v="LeBlanc, Brandon  R"/>
    <n v="10134"/>
    <n v="1"/>
    <n v="93046"/>
    <x v="25"/>
    <d v="1984-06-10T00:00:00"/>
    <x v="0"/>
    <s v="US Citizen"/>
    <d v="2016-01-05T00:00:00"/>
    <m/>
    <s v="N/A-StillEmployed"/>
    <x v="0"/>
    <x v="3"/>
    <s v="Janet King"/>
    <n v="41"/>
    <n v="9"/>
  </r>
  <r>
    <s v="Lecter, Hannibal"/>
    <n v="10251"/>
    <n v="1"/>
    <n v="64738"/>
    <x v="0"/>
    <d v="1982-09-02T00:00:00"/>
    <x v="0"/>
    <s v="US Citizen"/>
    <d v="2012-05-14T00:00:00"/>
    <m/>
    <s v="N/A-StillEmployed"/>
    <x v="0"/>
    <x v="0"/>
    <s v="Elijiah Gray"/>
    <n v="43"/>
    <n v="13"/>
  </r>
  <r>
    <s v="Leruth, Giovanni"/>
    <n v="10103"/>
    <n v="1"/>
    <n v="70468"/>
    <x v="11"/>
    <d v="1988-12-27T00:00:00"/>
    <x v="0"/>
    <s v="US Citizen"/>
    <d v="2012-04-30T00:00:00"/>
    <m/>
    <s v="N/A-StillEmployed"/>
    <x v="0"/>
    <x v="4"/>
    <s v="John Smith"/>
    <n v="36"/>
    <n v="13"/>
  </r>
  <r>
    <s v="Liebig, Ketsia"/>
    <n v="10017"/>
    <n v="0"/>
    <n v="77915"/>
    <x v="9"/>
    <d v="1981-10-26T00:00:00"/>
    <x v="1"/>
    <s v="US Citizen"/>
    <d v="2013-09-30T00:00:00"/>
    <m/>
    <s v="N/A-StillEmployed"/>
    <x v="0"/>
    <x v="0"/>
    <s v="Janet King"/>
    <n v="44"/>
    <n v="12"/>
  </r>
  <r>
    <s v="Linares, Marilyn"/>
    <n v="10186"/>
    <n v="0"/>
    <n v="52624"/>
    <x v="0"/>
    <d v="1981-03-26T00:00:00"/>
    <x v="1"/>
    <s v="US Citizen"/>
    <d v="2011-07-05T00:00:00"/>
    <d v="2018-09-26T00:00:00"/>
    <s v="unhappy"/>
    <x v="1"/>
    <x v="0"/>
    <s v="Michael Albert"/>
    <n v="44"/>
    <n v="7"/>
  </r>
  <r>
    <s v="Linden, Mathew"/>
    <n v="10137"/>
    <n v="1"/>
    <n v="63450"/>
    <x v="2"/>
    <d v="1979-03-19T00:00:00"/>
    <x v="0"/>
    <s v="US Citizen"/>
    <d v="2013-07-08T00:00:00"/>
    <m/>
    <s v="N/A-StillEmployed"/>
    <x v="0"/>
    <x v="0"/>
    <s v="Kelley Spirea"/>
    <n v="46"/>
    <n v="12"/>
  </r>
  <r>
    <s v="Lindsay, Leonara"/>
    <n v="10008"/>
    <n v="0"/>
    <n v="51777"/>
    <x v="4"/>
    <d v="1988-10-05T00:00:00"/>
    <x v="1"/>
    <s v="US Citizen"/>
    <d v="2011-01-21T00:00:00"/>
    <m/>
    <s v="N/A-StillEmployed"/>
    <x v="0"/>
    <x v="1"/>
    <s v="Eric Dougall"/>
    <n v="37"/>
    <n v="14"/>
  </r>
  <r>
    <s v="Lundy, Susan"/>
    <n v="10096"/>
    <n v="0"/>
    <n v="67237"/>
    <x v="2"/>
    <d v="1976-12-26T00:00:00"/>
    <x v="1"/>
    <s v="US Citizen"/>
    <d v="2013-07-08T00:00:00"/>
    <d v="2016-09-15T00:00:00"/>
    <s v="more money"/>
    <x v="1"/>
    <x v="0"/>
    <s v="Michael Albert"/>
    <n v="48"/>
    <n v="3"/>
  </r>
  <r>
    <s v="Lunquist, Lisa"/>
    <n v="10035"/>
    <n v="0"/>
    <n v="73330"/>
    <x v="2"/>
    <d v="1982-03-28T00:00:00"/>
    <x v="1"/>
    <s v="US Citizen"/>
    <d v="2013-08-19T00:00:00"/>
    <m/>
    <s v="N/A-StillEmployed"/>
    <x v="0"/>
    <x v="0"/>
    <s v="Elijiah Gray"/>
    <n v="43"/>
    <n v="12"/>
  </r>
  <r>
    <s v="Lydon, Allison"/>
    <n v="10057"/>
    <n v="0"/>
    <n v="52057"/>
    <x v="0"/>
    <d v="1975-10-22T00:00:00"/>
    <x v="1"/>
    <s v="US Citizen"/>
    <d v="2015-02-16T00:00:00"/>
    <m/>
    <s v="N/A-StillEmployed"/>
    <x v="0"/>
    <x v="0"/>
    <s v="Elijiah Gray"/>
    <n v="50"/>
    <n v="10"/>
  </r>
  <r>
    <s v="Lynch, Lindsay"/>
    <n v="10004"/>
    <n v="0"/>
    <n v="47434"/>
    <x v="0"/>
    <d v="1973-02-14T00:00:00"/>
    <x v="1"/>
    <s v="US Citizen"/>
    <d v="2011-11-07T00:00:00"/>
    <d v="2015-11-14T00:00:00"/>
    <s v="Another position"/>
    <x v="1"/>
    <x v="0"/>
    <s v="Webster Butler"/>
    <n v="52"/>
    <n v="4"/>
  </r>
  <r>
    <s v="MacLennan, Samuel"/>
    <n v="10191"/>
    <n v="1"/>
    <n v="52788"/>
    <x v="0"/>
    <d v="1972-11-09T00:00:00"/>
    <x v="0"/>
    <s v="US Citizen"/>
    <d v="2012-09-24T00:00:00"/>
    <d v="2017-09-26T00:00:00"/>
    <s v="hours"/>
    <x v="1"/>
    <x v="0"/>
    <s v="Amy Dunn"/>
    <n v="53"/>
    <n v="5"/>
  </r>
  <r>
    <s v="Mahoney, Lauren"/>
    <n v="10219"/>
    <n v="0"/>
    <n v="45395"/>
    <x v="0"/>
    <d v="1986-07-07T00:00:00"/>
    <x v="1"/>
    <s v="US Citizen"/>
    <d v="2014-01-06T00:00:00"/>
    <m/>
    <s v="N/A-StillEmployed"/>
    <x v="0"/>
    <x v="0"/>
    <s v="Ketsia Liebig"/>
    <n v="39"/>
    <n v="11"/>
  </r>
  <r>
    <s v="Manchester, Robyn"/>
    <n v="10077"/>
    <n v="0"/>
    <n v="62385"/>
    <x v="2"/>
    <d v="1976-08-25T00:00:00"/>
    <x v="1"/>
    <s v="US Citizen"/>
    <d v="2016-05-11T00:00:00"/>
    <m/>
    <s v="N/A-StillEmployed"/>
    <x v="0"/>
    <x v="0"/>
    <s v="Webster Butler"/>
    <n v="49"/>
    <n v="9"/>
  </r>
  <r>
    <s v="Mancuso, Karen"/>
    <n v="10073"/>
    <n v="0"/>
    <n v="68407"/>
    <x v="2"/>
    <d v="1986-12-10T00:00:00"/>
    <x v="1"/>
    <s v="US Citizen"/>
    <d v="2011-07-05T00:00:00"/>
    <d v="2012-08-19T00:00:00"/>
    <s v="Another position"/>
    <x v="1"/>
    <x v="0"/>
    <s v="Amy Dunn"/>
    <n v="38"/>
    <n v="1"/>
  </r>
  <r>
    <s v="Mangal, Debbie"/>
    <n v="10279"/>
    <n v="0"/>
    <n v="61349"/>
    <x v="0"/>
    <d v="1974-11-07T00:00:00"/>
    <x v="1"/>
    <s v="US Citizen"/>
    <d v="2013-11-11T00:00:00"/>
    <m/>
    <s v="N/A-StillEmployed"/>
    <x v="0"/>
    <x v="0"/>
    <s v="Brannon Miller"/>
    <n v="51"/>
    <n v="12"/>
  </r>
  <r>
    <s v="Martin, Sandra"/>
    <n v="10110"/>
    <n v="0"/>
    <n v="105688"/>
    <x v="3"/>
    <d v="1987-11-07T00:00:00"/>
    <x v="1"/>
    <s v="US Citizen"/>
    <d v="2013-11-11T00:00:00"/>
    <m/>
    <s v="N/A-StillEmployed"/>
    <x v="0"/>
    <x v="2"/>
    <s v="Alex Sweetwater"/>
    <n v="38"/>
    <n v="12"/>
  </r>
  <r>
    <s v="Maurice, Shana"/>
    <n v="10053"/>
    <n v="0"/>
    <n v="54132"/>
    <x v="0"/>
    <d v="1977-11-22T00:00:00"/>
    <x v="1"/>
    <s v="US Citizen"/>
    <d v="2011-05-31T00:00:00"/>
    <m/>
    <s v="N/A-StillEmployed"/>
    <x v="0"/>
    <x v="0"/>
    <s v="David Stanley"/>
    <n v="48"/>
    <n v="14"/>
  </r>
  <r>
    <s v="Carthy, B'rigit"/>
    <n v="10076"/>
    <n v="0"/>
    <n v="55315"/>
    <x v="2"/>
    <d v="1987-05-21T00:00:00"/>
    <x v="1"/>
    <s v="US Citizen"/>
    <d v="2015-03-30T00:00:00"/>
    <m/>
    <s v="N/A-StillEmployed"/>
    <x v="0"/>
    <x v="0"/>
    <s v="Ketsia Liebig"/>
    <n v="38"/>
    <n v="10"/>
  </r>
  <r>
    <s v="Mckenna, Sandy"/>
    <n v="10145"/>
    <n v="0"/>
    <n v="62810"/>
    <x v="0"/>
    <d v="1987-01-07T00:00:00"/>
    <x v="1"/>
    <s v="US Citizen"/>
    <d v="2013-01-07T00:00:00"/>
    <m/>
    <s v="N/A-StillEmployed"/>
    <x v="0"/>
    <x v="0"/>
    <s v="Kissy Sullivan"/>
    <n v="38"/>
    <n v="12"/>
  </r>
  <r>
    <s v="McKinzie, Jac"/>
    <n v="10202"/>
    <n v="1"/>
    <n v="63291"/>
    <x v="11"/>
    <d v="1984-07-01T00:00:00"/>
    <x v="0"/>
    <s v="US Citizen"/>
    <d v="2016-07-06T00:00:00"/>
    <m/>
    <s v="N/A-StillEmployed"/>
    <x v="0"/>
    <x v="4"/>
    <s v="Lynn Daneault"/>
    <n v="41"/>
    <n v="9"/>
  </r>
  <r>
    <s v="Meads, Elizabeth"/>
    <n v="10128"/>
    <n v="0"/>
    <n v="62659"/>
    <x v="0"/>
    <d v="1968-05-30T00:00:00"/>
    <x v="1"/>
    <s v="US Citizen"/>
    <d v="2012-04-02T00:00:00"/>
    <d v="2016-11-11T00:00:00"/>
    <s v="Another position"/>
    <x v="1"/>
    <x v="0"/>
    <s v="Kelley Spirea"/>
    <n v="57"/>
    <n v="4"/>
  </r>
  <r>
    <s v="Medeiros, Jennifer"/>
    <n v="10068"/>
    <n v="0"/>
    <n v="55688"/>
    <x v="0"/>
    <d v="1976-09-22T00:00:00"/>
    <x v="1"/>
    <s v="US Citizen"/>
    <d v="2015-03-30T00:00:00"/>
    <m/>
    <s v="N/A-StillEmployed"/>
    <x v="0"/>
    <x v="0"/>
    <s v="Michael Albert"/>
    <n v="49"/>
    <n v="10"/>
  </r>
  <r>
    <s v="Miller, Brannon"/>
    <n v="10116"/>
    <n v="1"/>
    <n v="83667"/>
    <x v="9"/>
    <d v="1981-08-10T00:00:00"/>
    <x v="0"/>
    <s v="US Citizen"/>
    <d v="2012-08-16T00:00:00"/>
    <m/>
    <s v="N/A-StillEmployed"/>
    <x v="0"/>
    <x v="0"/>
    <s v="Janet King"/>
    <n v="44"/>
    <n v="13"/>
  </r>
  <r>
    <s v="Miller, Ned"/>
    <n v="10298"/>
    <n v="1"/>
    <n v="55800"/>
    <x v="2"/>
    <d v="1985-06-29T00:00:00"/>
    <x v="0"/>
    <s v="US Citizen"/>
    <d v="2011-08-15T00:00:00"/>
    <d v="2014-09-04T00:00:00"/>
    <s v="unhappy"/>
    <x v="1"/>
    <x v="0"/>
    <s v="Brannon Miller"/>
    <n v="40"/>
    <n v="3"/>
  </r>
  <r>
    <s v="Monkfish, Erasumus"/>
    <n v="10213"/>
    <n v="1"/>
    <n v="58207"/>
    <x v="2"/>
    <d v="1992-08-17T00:00:00"/>
    <x v="0"/>
    <s v="US Citizen"/>
    <d v="2011-11-07T00:00:00"/>
    <m/>
    <s v="N/A-StillEmployed"/>
    <x v="0"/>
    <x v="0"/>
    <s v="David Stanley"/>
    <n v="33"/>
    <n v="14"/>
  </r>
  <r>
    <s v="Monroe, Peter"/>
    <n v="10288"/>
    <n v="1"/>
    <n v="157000"/>
    <x v="26"/>
    <d v="1986-10-05T00:00:00"/>
    <x v="0"/>
    <s v="Eligible NonCitizen"/>
    <d v="2012-02-15T00:00:00"/>
    <m/>
    <s v="N/A-StillEmployed"/>
    <x v="0"/>
    <x v="1"/>
    <s v="Jennifer Zamora"/>
    <n v="39"/>
    <n v="13"/>
  </r>
  <r>
    <s v="Monterro, Luisa"/>
    <n v="10025"/>
    <n v="0"/>
    <n v="72460"/>
    <x v="2"/>
    <d v="1970-04-24T00:00:00"/>
    <x v="1"/>
    <s v="US Citizen"/>
    <d v="2013-05-13T00:00:00"/>
    <m/>
    <s v="N/A-StillEmployed"/>
    <x v="0"/>
    <x v="0"/>
    <s v="Kissy Sullivan"/>
    <n v="55"/>
    <n v="12"/>
  </r>
  <r>
    <s v="Moran, Patrick"/>
    <n v="10223"/>
    <n v="1"/>
    <n v="72106"/>
    <x v="2"/>
    <d v="1976-12-03T00:00:00"/>
    <x v="0"/>
    <s v="US Citizen"/>
    <d v="2012-01-09T00:00:00"/>
    <m/>
    <s v="N/A-StillEmployed"/>
    <x v="0"/>
    <x v="0"/>
    <s v="Kelley Spirea"/>
    <n v="48"/>
    <n v="13"/>
  </r>
  <r>
    <s v="Morway, Tanya"/>
    <n v="10151"/>
    <n v="0"/>
    <n v="52599"/>
    <x v="19"/>
    <d v="1979-04-04T00:00:00"/>
    <x v="1"/>
    <s v="US Citizen"/>
    <d v="2015-02-16T00:00:00"/>
    <m/>
    <s v="N/A-StillEmployed"/>
    <x v="0"/>
    <x v="1"/>
    <s v="Peter Monroe"/>
    <n v="46"/>
    <n v="10"/>
  </r>
  <r>
    <s v="Motlagh,  Dawn"/>
    <n v="10254"/>
    <n v="0"/>
    <n v="63430"/>
    <x v="0"/>
    <d v="1984-07-07T00:00:00"/>
    <x v="1"/>
    <s v="US Citizen"/>
    <d v="2013-04-01T00:00:00"/>
    <m/>
    <s v="N/A-StillEmployed"/>
    <x v="0"/>
    <x v="0"/>
    <s v="Elijiah Gray"/>
    <n v="41"/>
    <n v="12"/>
  </r>
  <r>
    <s v="Moumanil, Maliki"/>
    <n v="10120"/>
    <n v="1"/>
    <n v="74417"/>
    <x v="2"/>
    <d v="1974-12-01T00:00:00"/>
    <x v="0"/>
    <s v="US Citizen"/>
    <d v="2013-05-13T00:00:00"/>
    <m/>
    <s v="N/A-StillEmployed"/>
    <x v="0"/>
    <x v="0"/>
    <s v="Michael Albert"/>
    <n v="50"/>
    <n v="12"/>
  </r>
  <r>
    <s v="Myers, Michael"/>
    <n v="10216"/>
    <n v="1"/>
    <n v="57575"/>
    <x v="0"/>
    <d v="1980-04-18T00:00:00"/>
    <x v="0"/>
    <s v="US Citizen"/>
    <d v="2013-07-08T00:00:00"/>
    <m/>
    <s v="N/A-StillEmployed"/>
    <x v="0"/>
    <x v="0"/>
    <s v="Kissy Sullivan"/>
    <n v="45"/>
    <n v="12"/>
  </r>
  <r>
    <s v="Navathe, Kurt"/>
    <n v="10079"/>
    <n v="1"/>
    <n v="87921"/>
    <x v="24"/>
    <d v="1970-04-25T00:00:00"/>
    <x v="0"/>
    <s v="US Citizen"/>
    <d v="2017-02-10T00:00:00"/>
    <m/>
    <s v="N/A-StillEmployed"/>
    <x v="0"/>
    <x v="1"/>
    <s v="Brian Champaigne"/>
    <n v="55"/>
    <n v="8"/>
  </r>
  <r>
    <s v="Ndzi, Colombui"/>
    <n v="10215"/>
    <n v="1"/>
    <n v="50470"/>
    <x v="0"/>
    <d v="1989-05-02T00:00:00"/>
    <x v="0"/>
    <s v="US Citizen"/>
    <d v="2011-09-26T00:00:00"/>
    <d v="2014-04-04T00:00:00"/>
    <s v="return to school"/>
    <x v="1"/>
    <x v="0"/>
    <s v="Webster Butler"/>
    <n v="36"/>
    <n v="2"/>
  </r>
  <r>
    <s v="Ndzi, Horia"/>
    <n v="10185"/>
    <n v="1"/>
    <n v="46664"/>
    <x v="0"/>
    <d v="1983-03-28T00:00:00"/>
    <x v="0"/>
    <s v="US Citizen"/>
    <d v="2013-04-01T00:00:00"/>
    <d v="2016-05-25T00:00:00"/>
    <s v="more money"/>
    <x v="1"/>
    <x v="0"/>
    <s v="Amy Dunn"/>
    <n v="42"/>
    <n v="3"/>
  </r>
  <r>
    <s v="Newman, Richard"/>
    <n v="10063"/>
    <n v="1"/>
    <n v="48495"/>
    <x v="0"/>
    <d v="1977-04-08T00:00:00"/>
    <x v="0"/>
    <s v="US Citizen"/>
    <d v="2014-05-12T00:00:00"/>
    <m/>
    <s v="N/A-StillEmployed"/>
    <x v="0"/>
    <x v="0"/>
    <s v="Ketsia Liebig"/>
    <n v="48"/>
    <n v="11"/>
  </r>
  <r>
    <s v="Ngodup, Shari"/>
    <n v="10037"/>
    <n v="0"/>
    <n v="52984"/>
    <x v="0"/>
    <d v="1967-06-03T00:00:00"/>
    <x v="1"/>
    <s v="US Citizen"/>
    <d v="2013-04-01T00:00:00"/>
    <m/>
    <s v="N/A-StillEmployed"/>
    <x v="0"/>
    <x v="0"/>
    <s v="Brannon Miller"/>
    <n v="58"/>
    <n v="12"/>
  </r>
  <r>
    <s v="Nguyen, Dheepa"/>
    <n v="10042"/>
    <n v="0"/>
    <n v="63695"/>
    <x v="11"/>
    <d v="1989-03-31T00:00:00"/>
    <x v="1"/>
    <s v="US Citizen"/>
    <d v="2013-07-08T00:00:00"/>
    <m/>
    <s v="N/A-StillEmployed"/>
    <x v="0"/>
    <x v="4"/>
    <s v="Lynn Daneault"/>
    <n v="36"/>
    <n v="12"/>
  </r>
  <r>
    <s v="Nguyen, Lei-Ming"/>
    <n v="10206"/>
    <n v="0"/>
    <n v="62061"/>
    <x v="0"/>
    <d v="1984-07-07T00:00:00"/>
    <x v="1"/>
    <s v="US Citizen"/>
    <d v="2013-07-08T00:00:00"/>
    <m/>
    <s v="N/A-StillEmployed"/>
    <x v="0"/>
    <x v="0"/>
    <s v="David Stanley"/>
    <n v="41"/>
    <n v="12"/>
  </r>
  <r>
    <s v="Nowlan, Kristie"/>
    <n v="10104"/>
    <n v="0"/>
    <n v="66738"/>
    <x v="2"/>
    <d v="1985-11-23T00:00:00"/>
    <x v="1"/>
    <s v="US Citizen"/>
    <d v="2014-11-10T00:00:00"/>
    <m/>
    <s v="N/A-StillEmployed"/>
    <x v="0"/>
    <x v="0"/>
    <s v="Elijiah Gray"/>
    <n v="40"/>
    <n v="11"/>
  </r>
  <r>
    <s v="O'hare, Lynn"/>
    <n v="10303"/>
    <n v="0"/>
    <n v="52674"/>
    <x v="0"/>
    <d v="1980-09-30T00:00:00"/>
    <x v="1"/>
    <s v="US Citizen"/>
    <d v="2014-03-31T00:00:00"/>
    <d v="2018-05-01T00:00:00"/>
    <s v="performance"/>
    <x v="2"/>
    <x v="0"/>
    <s v="Kissy Sullivan"/>
    <n v="45"/>
    <n v="4"/>
  </r>
  <r>
    <s v="Oliver, Brooke"/>
    <n v="10078"/>
    <n v="0"/>
    <n v="71966"/>
    <x v="2"/>
    <d v="1952-02-11T00:00:00"/>
    <x v="1"/>
    <s v="US Citizen"/>
    <d v="2012-05-14T00:00:00"/>
    <d v="2013-08-19T00:00:00"/>
    <s v="unhappy"/>
    <x v="1"/>
    <x v="0"/>
    <s v="Webster Butler"/>
    <n v="73"/>
    <n v="1"/>
  </r>
  <r>
    <s v="Onque, Jasmine"/>
    <n v="10121"/>
    <n v="0"/>
    <n v="63051"/>
    <x v="11"/>
    <d v="1990-05-11T00:00:00"/>
    <x v="1"/>
    <s v="US Citizen"/>
    <d v="2013-09-30T00:00:00"/>
    <m/>
    <s v="N/A-StillEmployed"/>
    <x v="0"/>
    <x v="4"/>
    <s v="Lynn Daneault"/>
    <n v="35"/>
    <n v="12"/>
  </r>
  <r>
    <s v="Osturnka, Adeel"/>
    <n v="10021"/>
    <n v="1"/>
    <n v="47414"/>
    <x v="0"/>
    <d v="1976-12-11T00:00:00"/>
    <x v="0"/>
    <s v="US Citizen"/>
    <d v="2013-09-30T00:00:00"/>
    <m/>
    <s v="N/A-StillEmployed"/>
    <x v="0"/>
    <x v="0"/>
    <s v="Kelley Spirea"/>
    <n v="48"/>
    <n v="12"/>
  </r>
  <r>
    <s v="Owad, Clinton"/>
    <n v="10281"/>
    <n v="1"/>
    <n v="53060"/>
    <x v="0"/>
    <d v="1979-11-24T00:00:00"/>
    <x v="0"/>
    <s v="US Citizen"/>
    <d v="2014-02-17T00:00:00"/>
    <m/>
    <s v="N/A-StillEmployed"/>
    <x v="0"/>
    <x v="0"/>
    <s v="Michael Albert"/>
    <n v="46"/>
    <n v="11"/>
  </r>
  <r>
    <s v="Ozark, Travis"/>
    <n v="10041"/>
    <n v="1"/>
    <n v="68829"/>
    <x v="11"/>
    <d v="1982-05-19T00:00:00"/>
    <x v="0"/>
    <s v="US Citizen"/>
    <d v="2015-01-05T00:00:00"/>
    <m/>
    <s v="N/A-StillEmployed"/>
    <x v="0"/>
    <x v="4"/>
    <s v="John Smith"/>
    <n v="43"/>
    <n v="10"/>
  </r>
  <r>
    <s v="Panjwani, Nina"/>
    <n v="10148"/>
    <n v="0"/>
    <n v="63515"/>
    <x v="0"/>
    <d v="1979-05-01T00:00:00"/>
    <x v="1"/>
    <s v="US Citizen"/>
    <d v="2011-02-07T00:00:00"/>
    <d v="2014-01-12T00:00:00"/>
    <s v="Another position"/>
    <x v="1"/>
    <x v="0"/>
    <s v="Elijiah Gray"/>
    <n v="46"/>
    <n v="2"/>
  </r>
  <r>
    <s v="Patronick, Lucas"/>
    <n v="10005"/>
    <n v="1"/>
    <n v="108987"/>
    <x v="3"/>
    <d v="1979-02-20T00:00:00"/>
    <x v="0"/>
    <s v="US Citizen"/>
    <d v="2011-11-07T00:00:00"/>
    <d v="2015-09-07T00:00:00"/>
    <s v="Another position"/>
    <x v="1"/>
    <x v="2"/>
    <s v="Alex Sweetwater"/>
    <n v="46"/>
    <n v="3"/>
  </r>
  <r>
    <s v="Pearson, Randall"/>
    <n v="10259"/>
    <n v="1"/>
    <n v="93093"/>
    <x v="5"/>
    <d v="1984-09-05T00:00:00"/>
    <x v="0"/>
    <s v="US Citizen"/>
    <d v="2014-12-01T00:00:00"/>
    <d v="2016-05-01T00:00:00"/>
    <s v="performance"/>
    <x v="1"/>
    <x v="1"/>
    <s v="Simon Roup"/>
    <n v="41"/>
    <n v="1"/>
  </r>
  <r>
    <s v="Smith, Martin"/>
    <n v="10286"/>
    <n v="1"/>
    <n v="53564"/>
    <x v="0"/>
    <d v="1988-03-17T00:00:00"/>
    <x v="0"/>
    <s v="US Citizen"/>
    <d v="2011-01-10T00:00:00"/>
    <d v="2017-12-28T00:00:00"/>
    <s v="career change"/>
    <x v="1"/>
    <x v="0"/>
    <s v="Webster Butler"/>
    <n v="37"/>
    <n v="6"/>
  </r>
  <r>
    <s v="Pelletier, Ermine"/>
    <n v="10297"/>
    <n v="0"/>
    <n v="60270"/>
    <x v="2"/>
    <d v="1989-07-18T00:00:00"/>
    <x v="1"/>
    <s v="US Citizen"/>
    <d v="2011-07-05T00:00:00"/>
    <d v="2015-09-15T00:00:00"/>
    <s v="unhappy"/>
    <x v="1"/>
    <x v="0"/>
    <s v="Amy Dunn"/>
    <n v="36"/>
    <n v="4"/>
  </r>
  <r>
    <s v="Perry, Shakira"/>
    <n v="10171"/>
    <n v="0"/>
    <n v="45998"/>
    <x v="0"/>
    <d v="1986-07-20T00:00:00"/>
    <x v="1"/>
    <s v="US Citizen"/>
    <d v="2011-05-16T00:00:00"/>
    <d v="2015-10-25T00:00:00"/>
    <s v="medical issues"/>
    <x v="1"/>
    <x v="0"/>
    <s v="Amy Dunn"/>
    <n v="39"/>
    <n v="4"/>
  </r>
  <r>
    <s v="Peters, Lauren"/>
    <n v="10032"/>
    <n v="0"/>
    <n v="57954"/>
    <x v="2"/>
    <d v="1986-08-17T00:00:00"/>
    <x v="1"/>
    <s v="US Citizen"/>
    <d v="2011-05-16T00:00:00"/>
    <d v="2013-02-04T00:00:00"/>
    <s v="more money"/>
    <x v="1"/>
    <x v="0"/>
    <s v="Ketsia Liebig"/>
    <n v="39"/>
    <n v="1"/>
  </r>
  <r>
    <s v="Peterson, Ebonee"/>
    <n v="10130"/>
    <n v="0"/>
    <n v="74669"/>
    <x v="9"/>
    <d v="1977-05-09T00:00:00"/>
    <x v="1"/>
    <s v="US Citizen"/>
    <d v="2010-10-25T00:00:00"/>
    <d v="2016-05-18T00:00:00"/>
    <s v="Another position"/>
    <x v="1"/>
    <x v="0"/>
    <s v="Janet King"/>
    <n v="48"/>
    <n v="5"/>
  </r>
  <r>
    <s v="Petingill, Shana"/>
    <n v="10217"/>
    <n v="0"/>
    <n v="74226"/>
    <x v="2"/>
    <d v="1979-03-10T00:00:00"/>
    <x v="1"/>
    <s v="Eligible NonCitizen"/>
    <d v="2012-04-02T00:00:00"/>
    <m/>
    <s v="N/A-StillEmployed"/>
    <x v="0"/>
    <x v="0"/>
    <s v="Brannon Miller"/>
    <n v="46"/>
    <n v="13"/>
  </r>
  <r>
    <s v="Petrowsky, Thelma"/>
    <n v="10016"/>
    <n v="0"/>
    <n v="93554"/>
    <x v="5"/>
    <d v="1984-09-16T00:00:00"/>
    <x v="1"/>
    <s v="US Citizen"/>
    <d v="2014-11-10T00:00:00"/>
    <m/>
    <s v="N/A-StillEmployed"/>
    <x v="0"/>
    <x v="1"/>
    <s v="Simon Roup"/>
    <n v="41"/>
    <n v="11"/>
  </r>
  <r>
    <s v="Pham, Hong"/>
    <n v="10050"/>
    <n v="1"/>
    <n v="64724"/>
    <x v="0"/>
    <d v="1988-03-06T00:00:00"/>
    <x v="0"/>
    <s v="US Citizen"/>
    <d v="2011-07-05T00:00:00"/>
    <d v="2012-11-30T00:00:00"/>
    <s v="more money"/>
    <x v="1"/>
    <x v="0"/>
    <s v="Brannon Miller"/>
    <n v="37"/>
    <n v="1"/>
  </r>
  <r>
    <s v="Pitt, Brad"/>
    <n v="10164"/>
    <n v="1"/>
    <n v="47001"/>
    <x v="0"/>
    <d v="1981-11-23T00:00:00"/>
    <x v="0"/>
    <s v="US Citizen"/>
    <d v="2007-11-05T00:00:00"/>
    <m/>
    <s v="N/A-StillEmployed"/>
    <x v="0"/>
    <x v="0"/>
    <s v="David Stanley"/>
    <n v="44"/>
    <n v="18"/>
  </r>
  <r>
    <s v="Potts, Xana"/>
    <n v="10124"/>
    <n v="0"/>
    <n v="61844"/>
    <x v="11"/>
    <d v="1988-08-29T00:00:00"/>
    <x v="1"/>
    <s v="US Citizen"/>
    <d v="2012-01-09T00:00:00"/>
    <m/>
    <s v="N/A-StillEmployed"/>
    <x v="0"/>
    <x v="4"/>
    <s v="Lynn Daneault"/>
    <n v="37"/>
    <n v="13"/>
  </r>
  <r>
    <s v="Power, Morissa"/>
    <n v="10187"/>
    <n v="0"/>
    <n v="46799"/>
    <x v="0"/>
    <d v="1984-10-15T00:00:00"/>
    <x v="1"/>
    <s v="Eligible NonCitizen"/>
    <d v="2011-05-16T00:00:00"/>
    <d v="2018-06-04T00:00:00"/>
    <s v="Another position"/>
    <x v="1"/>
    <x v="0"/>
    <s v="Kissy Sullivan"/>
    <n v="41"/>
    <n v="7"/>
  </r>
  <r>
    <s v="Punjabhi, Louis"/>
    <n v="10225"/>
    <n v="1"/>
    <n v="59472"/>
    <x v="0"/>
    <d v="1961-06-19T00:00:00"/>
    <x v="0"/>
    <s v="US Citizen"/>
    <d v="2014-01-06T00:00:00"/>
    <m/>
    <s v="N/A-StillEmployed"/>
    <x v="0"/>
    <x v="0"/>
    <s v="Kelley Spirea"/>
    <n v="64"/>
    <n v="11"/>
  </r>
  <r>
    <s v="Purinton, Janine"/>
    <n v="10262"/>
    <n v="0"/>
    <n v="46430"/>
    <x v="0"/>
    <d v="1970-09-22T00:00:00"/>
    <x v="1"/>
    <s v="US Citizen"/>
    <d v="2012-09-24T00:00:00"/>
    <d v="2013-06-18T00:00:00"/>
    <s v="unhappy"/>
    <x v="1"/>
    <x v="0"/>
    <s v="Kissy Sullivan"/>
    <n v="55"/>
    <n v="0"/>
  </r>
  <r>
    <s v="Quinn, Sean"/>
    <n v="10131"/>
    <n v="1"/>
    <n v="83363"/>
    <x v="3"/>
    <d v="1984-11-06T00:00:00"/>
    <x v="0"/>
    <s v="Eligible NonCitizen"/>
    <d v="2011-02-21T00:00:00"/>
    <d v="2015-08-15T00:00:00"/>
    <s v="career change"/>
    <x v="1"/>
    <x v="2"/>
    <s v="Janet King"/>
    <n v="41"/>
    <n v="4"/>
  </r>
  <r>
    <s v="Rachael, Maggie"/>
    <n v="10239"/>
    <n v="0"/>
    <n v="95920"/>
    <x v="17"/>
    <d v="1980-05-12T00:00:00"/>
    <x v="1"/>
    <s v="US Citizen"/>
    <d v="2016-10-02T00:00:00"/>
    <m/>
    <s v="N/A-StillEmployed"/>
    <x v="0"/>
    <x v="1"/>
    <s v="Brian Champaigne"/>
    <n v="45"/>
    <n v="9"/>
  </r>
  <r>
    <s v="Rarrick, Quinn"/>
    <n v="10152"/>
    <n v="1"/>
    <n v="61729"/>
    <x v="0"/>
    <d v="1984-12-31T00:00:00"/>
    <x v="0"/>
    <s v="US Citizen"/>
    <d v="2011-09-26T00:00:00"/>
    <d v="2018-04-07T00:00:00"/>
    <s v="more money"/>
    <x v="1"/>
    <x v="0"/>
    <s v="Michael Albert"/>
    <n v="40"/>
    <n v="6"/>
  </r>
  <r>
    <s v="Ren, Kylo"/>
    <n v="10140"/>
    <n v="1"/>
    <n v="61809"/>
    <x v="11"/>
    <d v="1954-10-12T00:00:00"/>
    <x v="0"/>
    <s v="US Citizen"/>
    <d v="2014-05-12T00:00:00"/>
    <m/>
    <s v="N/A-StillEmployed"/>
    <x v="0"/>
    <x v="4"/>
    <s v="John Smith"/>
    <n v="71"/>
    <n v="11"/>
  </r>
  <r>
    <s v="Rhoads, Thomas"/>
    <n v="10058"/>
    <n v="1"/>
    <n v="45115"/>
    <x v="0"/>
    <d v="1982-07-22T00:00:00"/>
    <x v="0"/>
    <s v="US Citizen"/>
    <d v="2011-05-16T00:00:00"/>
    <d v="2016-01-15T00:00:00"/>
    <s v="retiring"/>
    <x v="1"/>
    <x v="0"/>
    <s v="Elijiah Gray"/>
    <n v="43"/>
    <n v="4"/>
  </r>
  <r>
    <s v="Rivera, Haley"/>
    <n v="10011"/>
    <n v="0"/>
    <n v="46738"/>
    <x v="0"/>
    <d v="1973-01-12T00:00:00"/>
    <x v="1"/>
    <s v="US Citizen"/>
    <d v="2011-11-28T00:00:00"/>
    <m/>
    <s v="N/A-StillEmployed"/>
    <x v="0"/>
    <x v="0"/>
    <s v="Webster Butler"/>
    <n v="52"/>
    <n v="14"/>
  </r>
  <r>
    <s v="Roberson, May"/>
    <n v="10230"/>
    <n v="0"/>
    <n v="64971"/>
    <x v="2"/>
    <d v="1981-09-05T00:00:00"/>
    <x v="1"/>
    <s v="Eligible NonCitizen"/>
    <d v="2011-09-26T00:00:00"/>
    <d v="2011-10-22T00:00:00"/>
    <s v="return to school"/>
    <x v="1"/>
    <x v="0"/>
    <s v="David Stanley"/>
    <n v="44"/>
    <n v="0"/>
  </r>
  <r>
    <s v="Robertson, Peter"/>
    <n v="10224"/>
    <n v="1"/>
    <n v="55578"/>
    <x v="2"/>
    <d v="1972-07-03T00:00:00"/>
    <x v="0"/>
    <s v="US Citizen"/>
    <d v="2011-07-05T00:00:00"/>
    <d v="2012-02-08T00:00:00"/>
    <s v="Another position"/>
    <x v="1"/>
    <x v="0"/>
    <s v="Kissy Sullivan"/>
    <n v="53"/>
    <n v="0"/>
  </r>
  <r>
    <s v="Robinson, Alain"/>
    <n v="10047"/>
    <n v="1"/>
    <n v="50428"/>
    <x v="0"/>
    <d v="1974-01-07T00:00:00"/>
    <x v="0"/>
    <s v="US Citizen"/>
    <d v="2011-01-10T00:00:00"/>
    <d v="2016-01-26T00:00:00"/>
    <s v="attendance"/>
    <x v="1"/>
    <x v="0"/>
    <s v="Amy Dunn"/>
    <n v="51"/>
    <n v="5"/>
  </r>
  <r>
    <s v="Robinson, Cherly"/>
    <n v="10285"/>
    <n v="0"/>
    <n v="61422"/>
    <x v="0"/>
    <d v="1985-01-07T00:00:00"/>
    <x v="1"/>
    <s v="US Citizen"/>
    <d v="2011-01-10T00:00:00"/>
    <d v="2016-05-17T00:00:00"/>
    <s v="attendance"/>
    <x v="2"/>
    <x v="0"/>
    <s v="Ketsia Liebig"/>
    <n v="40"/>
    <n v="5"/>
  </r>
  <r>
    <s v="Robinson, Elias"/>
    <n v="10020"/>
    <n v="1"/>
    <n v="63353"/>
    <x v="0"/>
    <d v="1985-01-28T00:00:00"/>
    <x v="0"/>
    <s v="US Citizen"/>
    <d v="2013-07-08T00:00:00"/>
    <m/>
    <s v="N/A-StillEmployed"/>
    <x v="0"/>
    <x v="0"/>
    <s v="Brannon Miller"/>
    <n v="40"/>
    <n v="12"/>
  </r>
  <r>
    <s v="Roby, Lori"/>
    <n v="10162"/>
    <n v="0"/>
    <n v="89883"/>
    <x v="5"/>
    <d v="1981-10-11T00:00:00"/>
    <x v="1"/>
    <s v="US Citizen"/>
    <d v="2015-02-16T00:00:00"/>
    <m/>
    <s v="N/A-StillEmployed"/>
    <x v="0"/>
    <x v="1"/>
    <s v="Simon Roup"/>
    <n v="44"/>
    <n v="10"/>
  </r>
  <r>
    <s v="Roehrich, Bianca"/>
    <n v="10149"/>
    <n v="0"/>
    <n v="120000"/>
    <x v="27"/>
    <d v="1973-05-27T00:00:00"/>
    <x v="1"/>
    <s v="US Citizen"/>
    <d v="2015-01-05T00:00:00"/>
    <d v="2018-11-10T00:00:00"/>
    <s v="Another position"/>
    <x v="1"/>
    <x v="1"/>
    <s v="Simon Roup"/>
    <n v="52"/>
    <n v="3"/>
  </r>
  <r>
    <s v="Roper, Katie"/>
    <n v="10086"/>
    <n v="0"/>
    <n v="150290"/>
    <x v="28"/>
    <d v="1972-11-21T00:00:00"/>
    <x v="1"/>
    <s v="US Citizen"/>
    <d v="2017-01-07T00:00:00"/>
    <m/>
    <s v="N/A-StillEmployed"/>
    <x v="0"/>
    <x v="1"/>
    <s v="Brian Champaigne"/>
    <n v="53"/>
    <n v="8"/>
  </r>
  <r>
    <s v="Rose, Ashley"/>
    <n v="10054"/>
    <n v="0"/>
    <n v="60627"/>
    <x v="0"/>
    <d v="1974-12-05T00:00:00"/>
    <x v="1"/>
    <s v="US Citizen"/>
    <d v="2014-01-06T00:00:00"/>
    <m/>
    <s v="N/A-StillEmployed"/>
    <x v="0"/>
    <x v="0"/>
    <s v="David Stanley"/>
    <n v="50"/>
    <n v="11"/>
  </r>
  <r>
    <s v="Rossetti, Bruno"/>
    <n v="10065"/>
    <n v="1"/>
    <n v="53180"/>
    <x v="0"/>
    <d v="1987-03-18T00:00:00"/>
    <x v="0"/>
    <s v="US Citizen"/>
    <d v="2011-04-04T00:00:00"/>
    <d v="2018-08-13T00:00:00"/>
    <s v="Another position"/>
    <x v="1"/>
    <x v="0"/>
    <s v="Kissy Sullivan"/>
    <n v="38"/>
    <n v="7"/>
  </r>
  <r>
    <s v="Roup,Simon"/>
    <n v="10198"/>
    <n v="1"/>
    <n v="140920"/>
    <x v="29"/>
    <d v="1973-04-05T00:00:00"/>
    <x v="0"/>
    <s v="US Citizen"/>
    <d v="2013-01-20T00:00:00"/>
    <m/>
    <s v="N/A-StillEmployed"/>
    <x v="0"/>
    <x v="1"/>
    <s v="Jennifer Zamora"/>
    <n v="52"/>
    <n v="12"/>
  </r>
  <r>
    <s v="Ruiz, Ricardo"/>
    <n v="10222"/>
    <n v="1"/>
    <n v="148999"/>
    <x v="29"/>
    <d v="1964-01-04T00:00:00"/>
    <x v="0"/>
    <s v="US Citizen"/>
    <d v="2012-01-09T00:00:00"/>
    <d v="2015-11-04T00:00:00"/>
    <s v="hours"/>
    <x v="1"/>
    <x v="1"/>
    <s v="Jennifer Zamora"/>
    <n v="61"/>
    <n v="3"/>
  </r>
  <r>
    <s v="Saada, Adell"/>
    <n v="10126"/>
    <n v="0"/>
    <n v="86214"/>
    <x v="3"/>
    <d v="1986-07-24T00:00:00"/>
    <x v="1"/>
    <s v="US Citizen"/>
    <d v="2012-11-05T00:00:00"/>
    <m/>
    <s v="N/A-StillEmployed"/>
    <x v="0"/>
    <x v="2"/>
    <s v="Alex Sweetwater"/>
    <n v="39"/>
    <n v="13"/>
  </r>
  <r>
    <s v="Saar-Beckles, Melinda"/>
    <n v="10295"/>
    <n v="0"/>
    <n v="47750"/>
    <x v="0"/>
    <d v="1968-06-06T00:00:00"/>
    <x v="1"/>
    <s v="US Citizen"/>
    <d v="2016-07-04T00:00:00"/>
    <m/>
    <s v="N/A-StillEmployed"/>
    <x v="0"/>
    <x v="0"/>
    <s v="Kelley Spirea"/>
    <n v="57"/>
    <n v="9"/>
  </r>
  <r>
    <s v="Sadki, Nore"/>
    <n v="10260"/>
    <n v="1"/>
    <n v="46428"/>
    <x v="0"/>
    <d v="1974-12-21T00:00:00"/>
    <x v="0"/>
    <s v="US Citizen"/>
    <d v="2009-01-05T00:00:00"/>
    <d v="2018-07-30T00:00:00"/>
    <s v="relocation out of area"/>
    <x v="1"/>
    <x v="0"/>
    <s v="Michael Albert"/>
    <n v="50"/>
    <n v="9"/>
  </r>
  <r>
    <s v="Sahoo, Adil"/>
    <n v="10233"/>
    <n v="1"/>
    <n v="57975"/>
    <x v="2"/>
    <d v="1986-04-26T00:00:00"/>
    <x v="0"/>
    <s v="US Citizen"/>
    <d v="2010-08-30T00:00:00"/>
    <m/>
    <s v="N/A-StillEmployed"/>
    <x v="0"/>
    <x v="0"/>
    <s v="Kelley Spirea"/>
    <n v="39"/>
    <n v="15"/>
  </r>
  <r>
    <s v="Salter, Jason"/>
    <n v="10229"/>
    <n v="1"/>
    <n v="88527"/>
    <x v="5"/>
    <d v="1987-12-17T00:00:00"/>
    <x v="0"/>
    <s v="US Citizen"/>
    <d v="2015-01-05T00:00:00"/>
    <d v="2015-10-31T00:00:00"/>
    <s v="hours"/>
    <x v="1"/>
    <x v="1"/>
    <s v="Simon Roup"/>
    <n v="37"/>
    <n v="0"/>
  </r>
  <r>
    <s v="Sander, Kamrin"/>
    <n v="10169"/>
    <n v="0"/>
    <n v="56147"/>
    <x v="0"/>
    <d v="1988-07-10T00:00:00"/>
    <x v="1"/>
    <s v="US Citizen"/>
    <d v="2014-09-29T00:00:00"/>
    <m/>
    <s v="N/A-StillEmployed"/>
    <x v="0"/>
    <x v="0"/>
    <s v="Elijiah Gray"/>
    <n v="37"/>
    <n v="11"/>
  </r>
  <r>
    <s v="Sewkumar, Nori"/>
    <n v="10071"/>
    <n v="0"/>
    <n v="50923"/>
    <x v="0"/>
    <d v="1975-03-10T00:00:00"/>
    <x v="1"/>
    <s v="US Citizen"/>
    <d v="2013-09-30T00:00:00"/>
    <m/>
    <s v="N/A-StillEmployed"/>
    <x v="0"/>
    <x v="0"/>
    <s v="Webster Butler"/>
    <n v="50"/>
    <n v="12"/>
  </r>
  <r>
    <s v="Shepard, Anita"/>
    <n v="10179"/>
    <n v="0"/>
    <n v="50750"/>
    <x v="19"/>
    <d v="1981-04-14T00:00:00"/>
    <x v="1"/>
    <s v="US Citizen"/>
    <d v="2014-09-30T00:00:00"/>
    <m/>
    <s v="N/A-StillEmployed"/>
    <x v="0"/>
    <x v="1"/>
    <s v="Peter Monroe"/>
    <n v="44"/>
    <n v="11"/>
  </r>
  <r>
    <s v="Shields, Seffi"/>
    <n v="10091"/>
    <n v="0"/>
    <n v="52087"/>
    <x v="0"/>
    <d v="1985-08-24T00:00:00"/>
    <x v="1"/>
    <s v="US Citizen"/>
    <d v="2013-08-19T00:00:00"/>
    <m/>
    <s v="N/A-StillEmployed"/>
    <x v="0"/>
    <x v="0"/>
    <s v="Amy Dunn"/>
    <n v="40"/>
    <n v="12"/>
  </r>
  <r>
    <s v="Simard, Kramer"/>
    <n v="10178"/>
    <n v="1"/>
    <n v="87826"/>
    <x v="5"/>
    <d v="1970-02-08T00:00:00"/>
    <x v="0"/>
    <s v="US Citizen"/>
    <d v="2015-01-05T00:00:00"/>
    <m/>
    <s v="N/A-StillEmployed"/>
    <x v="0"/>
    <x v="1"/>
    <s v="Simon Roup"/>
    <n v="55"/>
    <n v="10"/>
  </r>
  <r>
    <s v="Singh, Nan"/>
    <n v="10039"/>
    <n v="0"/>
    <n v="51920"/>
    <x v="22"/>
    <d v="1988-05-19T00:00:00"/>
    <x v="1"/>
    <s v="US Citizen"/>
    <d v="2015-05-01T00:00:00"/>
    <m/>
    <s v="N/A-StillEmployed"/>
    <x v="0"/>
    <x v="3"/>
    <s v="Brandon R. LeBlanc"/>
    <n v="37"/>
    <n v="10"/>
  </r>
  <r>
    <s v="Sloan, Constance"/>
    <n v="10095"/>
    <n v="0"/>
    <n v="63878"/>
    <x v="2"/>
    <d v="1987-11-25T00:00:00"/>
    <x v="1"/>
    <s v="US Citizen"/>
    <d v="2009-10-26T00:00:00"/>
    <d v="2015-04-08T00:00:00"/>
    <s v="maternity leave - did not return"/>
    <x v="1"/>
    <x v="0"/>
    <s v="Michael Albert"/>
    <n v="38"/>
    <n v="5"/>
  </r>
  <r>
    <s v="Smith, Joe"/>
    <n v="10027"/>
    <n v="1"/>
    <n v="60656"/>
    <x v="2"/>
    <d v="1963-10-30T00:00:00"/>
    <x v="0"/>
    <s v="US Citizen"/>
    <d v="2014-09-29T00:00:00"/>
    <m/>
    <s v="N/A-StillEmployed"/>
    <x v="0"/>
    <x v="0"/>
    <s v="Elijiah Gray"/>
    <n v="62"/>
    <n v="11"/>
  </r>
  <r>
    <s v="Smith, John"/>
    <n v="10291"/>
    <n v="1"/>
    <n v="72992"/>
    <x v="16"/>
    <d v="1984-08-16T00:00:00"/>
    <x v="0"/>
    <s v="US Citizen"/>
    <d v="2014-05-18T00:00:00"/>
    <m/>
    <s v="N/A-StillEmployed"/>
    <x v="0"/>
    <x v="4"/>
    <s v="Debra Houlihan"/>
    <n v="41"/>
    <n v="11"/>
  </r>
  <r>
    <s v="Smith, Leigh Ann"/>
    <n v="10153"/>
    <n v="0"/>
    <n v="55000"/>
    <x v="22"/>
    <d v="1987-06-14T00:00:00"/>
    <x v="1"/>
    <s v="US Citizen"/>
    <d v="2011-09-26T00:00:00"/>
    <d v="2013-09-25T00:00:00"/>
    <s v="career change"/>
    <x v="1"/>
    <x v="3"/>
    <s v="Brandon R. LeBlanc"/>
    <n v="38"/>
    <n v="1"/>
  </r>
  <r>
    <s v="Smith, Sade"/>
    <n v="10157"/>
    <n v="0"/>
    <n v="58939"/>
    <x v="0"/>
    <d v="1965-02-02T00:00:00"/>
    <x v="1"/>
    <s v="US Citizen"/>
    <d v="2013-11-11T00:00:00"/>
    <m/>
    <s v="N/A-StillEmployed"/>
    <x v="0"/>
    <x v="0"/>
    <s v="Ketsia Liebig"/>
    <n v="60"/>
    <n v="12"/>
  </r>
  <r>
    <s v="Soto, Julia"/>
    <n v="10119"/>
    <n v="0"/>
    <n v="66593"/>
    <x v="4"/>
    <d v="1973-03-12T00:00:00"/>
    <x v="1"/>
    <s v="US Citizen"/>
    <d v="2011-06-10T00:00:00"/>
    <m/>
    <s v="N/A-StillEmployed"/>
    <x v="0"/>
    <x v="1"/>
    <s v="Eric Dougall"/>
    <n v="52"/>
    <n v="14"/>
  </r>
  <r>
    <s v="Soze, Keyser"/>
    <n v="10180"/>
    <n v="1"/>
    <n v="87565"/>
    <x v="15"/>
    <d v="1983-02-09T00:00:00"/>
    <x v="0"/>
    <s v="US Citizen"/>
    <d v="2016-06-30T00:00:00"/>
    <m/>
    <s v="N/A-StillEmployed"/>
    <x v="0"/>
    <x v="1"/>
    <s v="Peter Monroe"/>
    <n v="42"/>
    <n v="9"/>
  </r>
  <r>
    <s v="Sparks, Taylor"/>
    <n v="10302"/>
    <n v="0"/>
    <n v="64021"/>
    <x v="0"/>
    <d v="1968-07-20T00:00:00"/>
    <x v="1"/>
    <s v="US Citizen"/>
    <d v="2012-02-20T00:00:00"/>
    <m/>
    <s v="N/A-StillEmployed"/>
    <x v="0"/>
    <x v="0"/>
    <s v="Brannon Miller"/>
    <n v="57"/>
    <n v="13"/>
  </r>
  <r>
    <s v="Spirea, Kelley"/>
    <n v="10090"/>
    <n v="0"/>
    <n v="65714"/>
    <x v="9"/>
    <d v="1975-09-30T00:00:00"/>
    <x v="1"/>
    <s v="US Citizen"/>
    <d v="2012-10-02T00:00:00"/>
    <m/>
    <s v="N/A-StillEmployed"/>
    <x v="0"/>
    <x v="0"/>
    <s v="Janet King"/>
    <n v="50"/>
    <n v="13"/>
  </r>
  <r>
    <s v="Squatrito, Kristen"/>
    <n v="10030"/>
    <n v="0"/>
    <n v="62425"/>
    <x v="0"/>
    <d v="1973-03-26T00:00:00"/>
    <x v="1"/>
    <s v="US Citizen"/>
    <d v="2013-05-13T00:00:00"/>
    <d v="2015-06-29T00:00:00"/>
    <s v="unhappy"/>
    <x v="1"/>
    <x v="0"/>
    <s v="David Stanley"/>
    <n v="52"/>
    <n v="2"/>
  </r>
  <r>
    <s v="Stanford,Barbara  M"/>
    <n v="10278"/>
    <n v="0"/>
    <n v="47961"/>
    <x v="0"/>
    <d v="1982-08-25T00:00:00"/>
    <x v="1"/>
    <s v="US Citizen"/>
    <d v="2011-01-10T00:00:00"/>
    <m/>
    <s v="N/A-StillEmployed"/>
    <x v="0"/>
    <x v="0"/>
    <s v="Kissy Sullivan"/>
    <n v="43"/>
    <n v="14"/>
  </r>
  <r>
    <s v="Stansfield, Norman"/>
    <n v="10307"/>
    <n v="1"/>
    <n v="58273"/>
    <x v="11"/>
    <d v="1974-05-09T00:00:00"/>
    <x v="0"/>
    <s v="US Citizen"/>
    <d v="2014-05-12T00:00:00"/>
    <m/>
    <s v="N/A-StillEmployed"/>
    <x v="0"/>
    <x v="4"/>
    <s v="Lynn Daneault"/>
    <n v="51"/>
    <n v="11"/>
  </r>
  <r>
    <s v="Steans, Tyrone"/>
    <n v="10147"/>
    <n v="1"/>
    <n v="63003"/>
    <x v="10"/>
    <d v="1986-09-01T00:00:00"/>
    <x v="0"/>
    <s v="US Citizen"/>
    <d v="2014-09-29T00:00:00"/>
    <m/>
    <s v="N/A-StillEmployed"/>
    <x v="0"/>
    <x v="3"/>
    <s v="Brandon R. LeBlanc"/>
    <n v="39"/>
    <n v="11"/>
  </r>
  <r>
    <s v="Stoica, Rick"/>
    <n v="10266"/>
    <n v="1"/>
    <n v="61355"/>
    <x v="0"/>
    <d v="1985-03-14T00:00:00"/>
    <x v="0"/>
    <s v="US Citizen"/>
    <d v="2014-02-17T00:00:00"/>
    <m/>
    <s v="N/A-StillEmployed"/>
    <x v="0"/>
    <x v="0"/>
    <s v="Kelley Spirea"/>
    <n v="40"/>
    <n v="11"/>
  </r>
  <r>
    <s v="Strong, Caitrin"/>
    <n v="10241"/>
    <n v="0"/>
    <n v="60120"/>
    <x v="11"/>
    <d v="1989-05-12T00:00:00"/>
    <x v="1"/>
    <s v="US Citizen"/>
    <d v="2010-09-27T00:00:00"/>
    <m/>
    <s v="N/A-StillEmployed"/>
    <x v="0"/>
    <x v="4"/>
    <s v="John Smith"/>
    <n v="36"/>
    <n v="15"/>
  </r>
  <r>
    <s v="Sullivan, Kissy"/>
    <n v="10158"/>
    <n v="0"/>
    <n v="63682"/>
    <x v="9"/>
    <d v="1978-03-28T00:00:00"/>
    <x v="1"/>
    <s v="US Citizen"/>
    <d v="2009-01-08T00:00:00"/>
    <m/>
    <s v="N/A-StillEmployed"/>
    <x v="0"/>
    <x v="0"/>
    <s v="Janet King"/>
    <n v="47"/>
    <n v="16"/>
  </r>
  <r>
    <s v="Sullivan, Timothy"/>
    <n v="10117"/>
    <n v="1"/>
    <n v="63025"/>
    <x v="0"/>
    <d v="1982-10-07T00:00:00"/>
    <x v="0"/>
    <s v="US Citizen"/>
    <d v="2015-01-05T00:00:00"/>
    <m/>
    <s v="N/A-StillEmployed"/>
    <x v="0"/>
    <x v="0"/>
    <s v="Michael Albert"/>
    <n v="43"/>
    <n v="10"/>
  </r>
  <r>
    <s v="Sutwell, Barbara"/>
    <n v="10209"/>
    <n v="0"/>
    <n v="59238"/>
    <x v="0"/>
    <d v="1968-08-15T00:00:00"/>
    <x v="1"/>
    <s v="Eligible NonCitizen"/>
    <d v="2012-05-14T00:00:00"/>
    <m/>
    <s v="N/A-StillEmployed"/>
    <x v="0"/>
    <x v="0"/>
    <s v="Elijiah Gray"/>
    <n v="57"/>
    <n v="13"/>
  </r>
  <r>
    <s v="Szabo, Andrew"/>
    <n v="10024"/>
    <n v="1"/>
    <n v="92989"/>
    <x v="3"/>
    <d v="1983-05-06T00:00:00"/>
    <x v="0"/>
    <s v="US Citizen"/>
    <d v="2014-07-07T00:00:00"/>
    <m/>
    <s v="N/A-StillEmployed"/>
    <x v="0"/>
    <x v="2"/>
    <s v="Alex Sweetwater"/>
    <n v="42"/>
    <n v="11"/>
  </r>
  <r>
    <s v="Tannen, Biff"/>
    <n v="10173"/>
    <n v="1"/>
    <n v="90100"/>
    <x v="17"/>
    <d v="1987-10-24T00:00:00"/>
    <x v="0"/>
    <s v="US Citizen"/>
    <d v="2017-04-20T00:00:00"/>
    <m/>
    <s v="N/A-StillEmployed"/>
    <x v="0"/>
    <x v="1"/>
    <s v="Brian Champaigne"/>
    <n v="38"/>
    <n v="8"/>
  </r>
  <r>
    <s v="Tavares, Desiree"/>
    <n v="10221"/>
    <n v="0"/>
    <n v="60754"/>
    <x v="0"/>
    <d v="1975-04-03T00:00:00"/>
    <x v="1"/>
    <s v="Non-Citizen"/>
    <d v="2009-04-27T00:00:00"/>
    <d v="2013-04-01T00:00:00"/>
    <s v="Another position"/>
    <x v="1"/>
    <x v="0"/>
    <s v="Webster Butler"/>
    <n v="50"/>
    <n v="3"/>
  </r>
  <r>
    <s v="Tejeda, Lenora"/>
    <n v="10146"/>
    <n v="0"/>
    <n v="72202"/>
    <x v="2"/>
    <d v="1953-05-24T00:00:00"/>
    <x v="1"/>
    <s v="US Citizen"/>
    <d v="2011-05-16T00:00:00"/>
    <d v="2017-07-08T00:00:00"/>
    <s v="Another position"/>
    <x v="1"/>
    <x v="0"/>
    <s v="Elijiah Gray"/>
    <n v="72"/>
    <n v="6"/>
  </r>
  <r>
    <s v="Terry, Sharlene"/>
    <n v="10161"/>
    <n v="0"/>
    <n v="58370"/>
    <x v="11"/>
    <d v="1965-05-07T00:00:00"/>
    <x v="1"/>
    <s v="US Citizen"/>
    <d v="2014-09-29T00:00:00"/>
    <m/>
    <s v="N/A-StillEmployed"/>
    <x v="0"/>
    <x v="4"/>
    <s v="Lynn Daneault"/>
    <n v="60"/>
    <n v="11"/>
  </r>
  <r>
    <s v="Theamstern, Sophia"/>
    <n v="10141"/>
    <n v="0"/>
    <n v="48413"/>
    <x v="0"/>
    <d v="1965-05-09T00:00:00"/>
    <x v="1"/>
    <s v="US Citizen"/>
    <d v="2011-07-05T00:00:00"/>
    <d v="2016-09-05T00:00:00"/>
    <s v="return to school"/>
    <x v="1"/>
    <x v="0"/>
    <s v="Amy Dunn"/>
    <n v="60"/>
    <n v="5"/>
  </r>
  <r>
    <s v="Thibaud, Kenneth"/>
    <n v="10268"/>
    <n v="1"/>
    <n v="67176"/>
    <x v="2"/>
    <d v="1975-09-16T00:00:00"/>
    <x v="0"/>
    <s v="US Citizen"/>
    <d v="2007-06-25T00:00:00"/>
    <d v="2010-08-30T00:00:00"/>
    <s v="military"/>
    <x v="1"/>
    <x v="0"/>
    <s v="Webster Butler"/>
    <n v="50"/>
    <n v="3"/>
  </r>
  <r>
    <s v="Tippett, Jeanette"/>
    <n v="10123"/>
    <n v="0"/>
    <n v="56339"/>
    <x v="0"/>
    <d v="1967-06-05T00:00:00"/>
    <x v="1"/>
    <s v="US Citizen"/>
    <d v="2013-02-18T00:00:00"/>
    <m/>
    <s v="N/A-StillEmployed"/>
    <x v="0"/>
    <x v="0"/>
    <s v="Brannon Miller"/>
    <n v="58"/>
    <n v="12"/>
  </r>
  <r>
    <s v="Torrence, Jack"/>
    <n v="10013"/>
    <n v="1"/>
    <n v="64397"/>
    <x v="11"/>
    <d v="1968-01-15T00:00:00"/>
    <x v="0"/>
    <s v="US Citizen"/>
    <d v="2006-01-09T00:00:00"/>
    <m/>
    <s v="N/A-StillEmployed"/>
    <x v="0"/>
    <x v="4"/>
    <s v="Lynn Daneault"/>
    <n v="57"/>
    <n v="19"/>
  </r>
  <r>
    <s v="Trang, Mei"/>
    <n v="10287"/>
    <n v="0"/>
    <n v="63025"/>
    <x v="0"/>
    <d v="1983-05-16T00:00:00"/>
    <x v="1"/>
    <s v="US Citizen"/>
    <d v="2014-02-17T00:00:00"/>
    <m/>
    <s v="N/A-StillEmployed"/>
    <x v="0"/>
    <x v="0"/>
    <s v="David Stanley"/>
    <n v="42"/>
    <n v="11"/>
  </r>
  <r>
    <s v="Tredinnick, Neville"/>
    <n v="10044"/>
    <n v="1"/>
    <n v="75281"/>
    <x v="19"/>
    <d v="1988-05-05T00:00:00"/>
    <x v="0"/>
    <s v="US Citizen"/>
    <d v="2015-01-05T00:00:00"/>
    <d v="2016-02-12T00:00:00"/>
    <s v="medical issues"/>
    <x v="1"/>
    <x v="1"/>
    <s v="Peter Monroe"/>
    <n v="37"/>
    <n v="1"/>
  </r>
  <r>
    <s v="True, Edward"/>
    <n v="10102"/>
    <n v="1"/>
    <n v="100416"/>
    <x v="3"/>
    <d v="1983-06-14T00:00:00"/>
    <x v="0"/>
    <s v="Non-Citizen"/>
    <d v="2013-02-18T00:00:00"/>
    <d v="2018-04-15T00:00:00"/>
    <s v="medical issues"/>
    <x v="1"/>
    <x v="2"/>
    <s v="Alex Sweetwater"/>
    <n v="42"/>
    <n v="5"/>
  </r>
  <r>
    <s v="Trzeciak, Cybil"/>
    <n v="10270"/>
    <n v="0"/>
    <n v="74813"/>
    <x v="2"/>
    <d v="1985-03-15T00:00:00"/>
    <x v="1"/>
    <s v="US Citizen"/>
    <d v="2011-01-10T00:00:00"/>
    <d v="2014-07-02T00:00:00"/>
    <s v="unhappy"/>
    <x v="1"/>
    <x v="0"/>
    <s v="Amy Dunn"/>
    <n v="40"/>
    <n v="3"/>
  </r>
  <r>
    <s v="Turpin, Jumil"/>
    <n v="10045"/>
    <n v="1"/>
    <n v="76029"/>
    <x v="19"/>
    <d v="1969-03-31T00:00:00"/>
    <x v="0"/>
    <s v="Eligible NonCitizen"/>
    <d v="2015-03-30T00:00:00"/>
    <m/>
    <s v="N/A-StillEmployed"/>
    <x v="0"/>
    <x v="1"/>
    <s v="Peter Monroe"/>
    <n v="56"/>
    <n v="10"/>
  </r>
  <r>
    <s v="Valentin,Jackie"/>
    <n v="10205"/>
    <n v="0"/>
    <n v="57859"/>
    <x v="11"/>
    <d v="1991-05-23T00:00:00"/>
    <x v="1"/>
    <s v="US Citizen"/>
    <d v="2011-07-05T00:00:00"/>
    <m/>
    <s v="N/A-StillEmployed"/>
    <x v="0"/>
    <x v="4"/>
    <s v="John Smith"/>
    <n v="34"/>
    <n v="14"/>
  </r>
  <r>
    <s v="Veera, Abdellah"/>
    <n v="10014"/>
    <n v="1"/>
    <n v="58523"/>
    <x v="0"/>
    <d v="1987-01-31T00:00:00"/>
    <x v="0"/>
    <s v="US Citizen"/>
    <d v="2012-08-13T00:00:00"/>
    <d v="2016-02-05T00:00:00"/>
    <s v="maternity leave - did not return"/>
    <x v="1"/>
    <x v="0"/>
    <s v="Kissy Sullivan"/>
    <n v="38"/>
    <n v="3"/>
  </r>
  <r>
    <s v="Vega, Vincent"/>
    <n v="10144"/>
    <n v="1"/>
    <n v="88976"/>
    <x v="9"/>
    <d v="1968-10-10T00:00:00"/>
    <x v="0"/>
    <s v="US Citizen"/>
    <d v="2011-08-01T00:00:00"/>
    <m/>
    <s v="N/A-StillEmployed"/>
    <x v="0"/>
    <x v="0"/>
    <s v="Janet King"/>
    <n v="57"/>
    <n v="14"/>
  </r>
  <r>
    <s v="Villanueva, Noah"/>
    <n v="10253"/>
    <n v="1"/>
    <n v="55875"/>
    <x v="11"/>
    <d v="1989-07-11T00:00:00"/>
    <x v="0"/>
    <s v="US Citizen"/>
    <d v="2012-03-05T00:00:00"/>
    <m/>
    <s v="N/A-StillEmployed"/>
    <x v="0"/>
    <x v="4"/>
    <s v="John Smith"/>
    <n v="36"/>
    <n v="13"/>
  </r>
  <r>
    <s v="Voldemort, Lord"/>
    <n v="10118"/>
    <n v="1"/>
    <n v="113999"/>
    <x v="6"/>
    <d v="1986-08-07T00:00:00"/>
    <x v="0"/>
    <s v="US Citizen"/>
    <d v="2015-02-16T00:00:00"/>
    <d v="2017-02-22T00:00:00"/>
    <s v="no-call, no-show"/>
    <x v="2"/>
    <x v="1"/>
    <s v="Simon Roup"/>
    <n v="39"/>
    <n v="2"/>
  </r>
  <r>
    <s v="Volk, Colleen"/>
    <n v="10022"/>
    <n v="0"/>
    <n v="49773"/>
    <x v="0"/>
    <d v="1986-06-03T00:00:00"/>
    <x v="1"/>
    <s v="US Citizen"/>
    <d v="2011-09-26T00:00:00"/>
    <d v="2016-02-08T00:00:00"/>
    <s v="gross misconduct"/>
    <x v="2"/>
    <x v="0"/>
    <s v="Kelley Spirea"/>
    <n v="39"/>
    <n v="4"/>
  </r>
  <r>
    <s v="Von Massenbach, Anna"/>
    <n v="10183"/>
    <n v="0"/>
    <n v="62068"/>
    <x v="0"/>
    <d v="1985-04-06T00:00:00"/>
    <x v="1"/>
    <s v="US Citizen"/>
    <d v="2015-07-05T00:00:00"/>
    <m/>
    <s v="N/A-StillEmployed"/>
    <x v="0"/>
    <x v="0"/>
    <s v="Michael Albert"/>
    <n v="40"/>
    <n v="10"/>
  </r>
  <r>
    <s v="Walker, Roger"/>
    <n v="10190"/>
    <n v="1"/>
    <n v="66541"/>
    <x v="2"/>
    <d v="1976-02-10T00:00:00"/>
    <x v="0"/>
    <s v="US Citizen"/>
    <d v="2014-08-18T00:00:00"/>
    <m/>
    <s v="N/A-StillEmployed"/>
    <x v="0"/>
    <x v="0"/>
    <s v="Ketsia Liebig"/>
    <n v="49"/>
    <n v="11"/>
  </r>
  <r>
    <s v="Wallace, Courtney  E"/>
    <n v="10274"/>
    <n v="0"/>
    <n v="80512"/>
    <x v="9"/>
    <d v="1955-11-14T00:00:00"/>
    <x v="1"/>
    <s v="US Citizen"/>
    <d v="2011-09-26T00:00:00"/>
    <d v="2012-01-02T00:00:00"/>
    <s v="Another position"/>
    <x v="1"/>
    <x v="0"/>
    <s v="Janet King"/>
    <n v="70"/>
    <n v="0"/>
  </r>
  <r>
    <s v="Wallace, Theresa"/>
    <n v="10293"/>
    <n v="0"/>
    <n v="50274"/>
    <x v="0"/>
    <d v="1980-08-02T00:00:00"/>
    <x v="1"/>
    <s v="US Citizen"/>
    <d v="2012-08-13T00:00:00"/>
    <d v="2015-09-01T00:00:00"/>
    <s v="career change"/>
    <x v="1"/>
    <x v="0"/>
    <s v="Elijiah Gray"/>
    <n v="45"/>
    <n v="3"/>
  </r>
  <r>
    <s v="Wang, Charlie"/>
    <n v="10172"/>
    <n v="1"/>
    <n v="84903"/>
    <x v="24"/>
    <d v="1981-07-08T00:00:00"/>
    <x v="0"/>
    <s v="US Citizen"/>
    <d v="2017-02-15T00:00:00"/>
    <m/>
    <s v="N/A-StillEmployed"/>
    <x v="0"/>
    <x v="1"/>
    <s v="Brian Champaigne"/>
    <n v="44"/>
    <n v="8"/>
  </r>
  <r>
    <s v="Warfield, Sarah"/>
    <n v="10127"/>
    <n v="0"/>
    <n v="107226"/>
    <x v="15"/>
    <d v="1978-05-02T00:00:00"/>
    <x v="1"/>
    <s v="US Citizen"/>
    <d v="2015-03-30T00:00:00"/>
    <m/>
    <s v="N/A-StillEmployed"/>
    <x v="0"/>
    <x v="1"/>
    <s v="Peter Monroe"/>
    <n v="47"/>
    <n v="10"/>
  </r>
  <r>
    <s v="Whittier, Scott"/>
    <n v="10072"/>
    <n v="1"/>
    <n v="58371"/>
    <x v="0"/>
    <d v="1987-05-24T00:00:00"/>
    <x v="0"/>
    <s v="US Citizen"/>
    <d v="2011-01-10T00:00:00"/>
    <d v="2014-05-15T00:00:00"/>
    <s v="hours"/>
    <x v="1"/>
    <x v="0"/>
    <s v="Webster Butler"/>
    <n v="38"/>
    <n v="3"/>
  </r>
  <r>
    <s v="Wilber, Barry"/>
    <n v="10048"/>
    <n v="1"/>
    <n v="55140"/>
    <x v="0"/>
    <d v="1965-09-09T00:00:00"/>
    <x v="0"/>
    <s v="Eligible NonCitizen"/>
    <d v="2011-05-16T00:00:00"/>
    <d v="2015-09-07T00:00:00"/>
    <s v="unhappy"/>
    <x v="1"/>
    <x v="0"/>
    <s v="Amy Dunn"/>
    <n v="60"/>
    <n v="4"/>
  </r>
  <r>
    <s v="Wilkes, Annie"/>
    <n v="10204"/>
    <n v="0"/>
    <n v="58062"/>
    <x v="0"/>
    <d v="1983-07-30T00:00:00"/>
    <x v="1"/>
    <s v="US Citizen"/>
    <d v="2011-01-10T00:00:00"/>
    <d v="2012-05-14T00:00:00"/>
    <s v="Another position"/>
    <x v="1"/>
    <x v="0"/>
    <s v="Ketsia Liebig"/>
    <n v="42"/>
    <n v="1"/>
  </r>
  <r>
    <s v="Williams, Jacquelyn"/>
    <n v="10264"/>
    <n v="0"/>
    <n v="59728"/>
    <x v="0"/>
    <d v="1969-10-02T00:00:00"/>
    <x v="1"/>
    <s v="US Citizen"/>
    <d v="2012-01-09T00:00:00"/>
    <d v="2015-06-27T00:00:00"/>
    <s v="relocation out of area"/>
    <x v="1"/>
    <x v="0"/>
    <s v="Ketsia Liebig"/>
    <n v="56"/>
    <n v="3"/>
  </r>
  <r>
    <s v="Winthrop, Jordan"/>
    <n v="10033"/>
    <n v="1"/>
    <n v="70507"/>
    <x v="2"/>
    <d v="1958-11-07T00:00:00"/>
    <x v="0"/>
    <s v="US Citizen"/>
    <d v="2013-01-07T00:00:00"/>
    <d v="2016-02-21T00:00:00"/>
    <s v="retiring"/>
    <x v="1"/>
    <x v="0"/>
    <s v="Brannon Miller"/>
    <n v="67"/>
    <n v="3"/>
  </r>
  <r>
    <s v="Wolk, Hang  T"/>
    <n v="10174"/>
    <n v="0"/>
    <n v="60446"/>
    <x v="2"/>
    <d v="1985-04-20T00:00:00"/>
    <x v="1"/>
    <s v="US Citizen"/>
    <d v="2014-09-29T00:00:00"/>
    <m/>
    <s v="N/A-StillEmployed"/>
    <x v="0"/>
    <x v="0"/>
    <s v="David Stanley"/>
    <n v="40"/>
    <n v="11"/>
  </r>
  <r>
    <s v="Woodson, Jason"/>
    <n v="10135"/>
    <n v="1"/>
    <n v="65893"/>
    <x v="2"/>
    <d v="1985-05-11T00:00:00"/>
    <x v="0"/>
    <s v="US Citizen"/>
    <d v="2014-07-07T00:00:00"/>
    <m/>
    <s v="N/A-StillEmployed"/>
    <x v="0"/>
    <x v="0"/>
    <s v="Kissy Sullivan"/>
    <n v="40"/>
    <n v="11"/>
  </r>
  <r>
    <s v="Ybarra, Catherine"/>
    <n v="10301"/>
    <n v="0"/>
    <n v="48513"/>
    <x v="0"/>
    <d v="1982-05-04T00:00:00"/>
    <x v="1"/>
    <s v="US Citizen"/>
    <d v="2008-09-02T00:00:00"/>
    <d v="2015-09-29T00:00:00"/>
    <s v="Another position"/>
    <x v="1"/>
    <x v="0"/>
    <s v="Brannon Miller"/>
    <n v="43"/>
    <n v="7"/>
  </r>
  <r>
    <s v="Zamora, Jennifer"/>
    <n v="10010"/>
    <n v="0"/>
    <n v="220450"/>
    <x v="30"/>
    <d v="1979-08-30T00:00:00"/>
    <x v="1"/>
    <s v="US Citizen"/>
    <d v="2010-04-10T00:00:00"/>
    <m/>
    <s v="N/A-StillEmployed"/>
    <x v="0"/>
    <x v="1"/>
    <s v="Janet King"/>
    <n v="46"/>
    <n v="15"/>
  </r>
  <r>
    <s v="Zhou, Julia"/>
    <n v="10043"/>
    <n v="0"/>
    <n v="89292"/>
    <x v="5"/>
    <d v="1979-02-24T00:00:00"/>
    <x v="1"/>
    <s v="US Citizen"/>
    <d v="2015-03-30T00:00:00"/>
    <m/>
    <s v="N/A-StillEmployed"/>
    <x v="0"/>
    <x v="1"/>
    <s v="Simon Roup"/>
    <n v="46"/>
    <n v="10"/>
  </r>
  <r>
    <s v="Zima, Colleen"/>
    <n v="10271"/>
    <n v="0"/>
    <n v="45046"/>
    <x v="0"/>
    <d v="1978-08-17T00:00:00"/>
    <x v="1"/>
    <s v="US Citizen"/>
    <d v="2014-09-29T00:00:00"/>
    <m/>
    <s v="N/A-StillEmployed"/>
    <x v="0"/>
    <x v="0"/>
    <s v="David Stanley"/>
    <n v="47"/>
    <n v="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
  <r>
    <s v="Adinolfi, Wilson  K"/>
    <n v="10026"/>
    <n v="1"/>
    <n v="62506"/>
    <s v="Production Technician I"/>
    <d v="1983-07-10T00:00:00"/>
    <s v="M "/>
    <s v="US Citizen"/>
    <d v="2011-07-05T00:00:00"/>
    <m/>
    <s v="N/A-StillEmployed"/>
    <s v="Active"/>
    <s v="Production"/>
    <s v="Michael Albert"/>
    <x v="0"/>
    <x v="0"/>
  </r>
  <r>
    <s v="Ait Sidi, Karthikeyan"/>
    <n v="10084"/>
    <n v="1"/>
    <n v="104437"/>
    <s v="Sr. DBA"/>
    <d v="1975-05-05T00:00:00"/>
    <s v="M "/>
    <s v="US Citizen"/>
    <d v="2015-03-30T00:00:00"/>
    <d v="2016-06-16T00:00:00"/>
    <s v="career change"/>
    <s v="Voluntarily Terminated"/>
    <s v="IT/IS"/>
    <s v="Simon Roup"/>
    <x v="1"/>
    <x v="1"/>
  </r>
  <r>
    <s v="Akinkuolie, Sarah"/>
    <n v="10196"/>
    <n v="0"/>
    <n v="64955"/>
    <s v="Production Technician II"/>
    <d v="1988-09-19T00:00:00"/>
    <s v="F"/>
    <s v="US Citizen"/>
    <d v="2011-07-05T00:00:00"/>
    <d v="2012-09-24T00:00:00"/>
    <s v="hours"/>
    <s v="Voluntarily Terminated"/>
    <s v="Production"/>
    <s v="Kissy Sullivan"/>
    <x v="2"/>
    <x v="1"/>
  </r>
  <r>
    <s v="Alagbe,Trina"/>
    <n v="10088"/>
    <n v="0"/>
    <n v="64991"/>
    <s v="Production Technician I"/>
    <d v="1988-09-27T00:00:00"/>
    <s v="F"/>
    <s v="US Citizen"/>
    <d v="2008-01-07T00:00:00"/>
    <m/>
    <s v="N/A-StillEmployed"/>
    <s v="Active"/>
    <s v="Production"/>
    <s v="Elijiah Gray"/>
    <x v="2"/>
    <x v="2"/>
  </r>
  <r>
    <s v="Anderson, Carol"/>
    <n v="10069"/>
    <n v="0"/>
    <n v="50825"/>
    <s v="Production Technician I"/>
    <d v="1989-09-08T00:00:00"/>
    <s v="F"/>
    <s v="US Citizen"/>
    <d v="2011-07-11T00:00:00"/>
    <d v="2016-09-06T00:00:00"/>
    <s v="return to school"/>
    <s v="Voluntarily Terminated"/>
    <s v="Production"/>
    <s v="Webster Butler"/>
    <x v="3"/>
    <x v="3"/>
  </r>
  <r>
    <s v="Anderson, Linda"/>
    <n v="10002"/>
    <n v="0"/>
    <n v="57568"/>
    <s v="Production Technician I"/>
    <d v="1977-05-22T00:00:00"/>
    <s v="F"/>
    <s v="US Citizen"/>
    <d v="2012-01-09T00:00:00"/>
    <m/>
    <s v="N/A-StillEmployed"/>
    <s v="Active"/>
    <s v="Production"/>
    <s v="Amy Dunn"/>
    <x v="4"/>
    <x v="4"/>
  </r>
  <r>
    <s v="Andreola, Colby"/>
    <n v="10194"/>
    <n v="0"/>
    <n v="95660"/>
    <s v="Software Engineer"/>
    <d v="1979-05-24T00:00:00"/>
    <s v="F"/>
    <s v="US Citizen"/>
    <d v="2014-11-10T00:00:00"/>
    <m/>
    <s v="N/A-StillEmployed"/>
    <s v="Active"/>
    <s v="Software Engineering"/>
    <s v="Alex Sweetwater"/>
    <x v="5"/>
    <x v="5"/>
  </r>
  <r>
    <s v="Athwal, Sam"/>
    <n v="10062"/>
    <n v="1"/>
    <n v="59365"/>
    <s v="Production Technician I"/>
    <d v="1983-02-18T00:00:00"/>
    <s v="M "/>
    <s v="US Citizen"/>
    <d v="2013-09-30T00:00:00"/>
    <m/>
    <s v="N/A-StillEmployed"/>
    <s v="Active"/>
    <s v="Production"/>
    <s v="Ketsia Liebig"/>
    <x v="0"/>
    <x v="6"/>
  </r>
  <r>
    <s v="Bachiochi, Linda"/>
    <n v="10114"/>
    <n v="0"/>
    <n v="47837"/>
    <s v="Production Technician I"/>
    <d v="1970-02-11T00:00:00"/>
    <s v="F"/>
    <s v="US Citizen"/>
    <d v="2009-07-06T00:00:00"/>
    <m/>
    <s v="N/A-StillEmployed"/>
    <s v="Active"/>
    <s v="Production"/>
    <s v="Brannon Miller"/>
    <x v="6"/>
    <x v="7"/>
  </r>
  <r>
    <s v="Bacong, Alejandro"/>
    <n v="10250"/>
    <n v="1"/>
    <n v="50178"/>
    <s v="IT Support"/>
    <d v="1988-01-07T00:00:00"/>
    <s v="M "/>
    <s v="US Citizen"/>
    <d v="2015-01-05T00:00:00"/>
    <m/>
    <s v="N/A-StillEmployed"/>
    <s v="Active"/>
    <s v="IT/IS"/>
    <s v="Peter Monroe"/>
    <x v="2"/>
    <x v="8"/>
  </r>
  <r>
    <s v="Baczenski, Rachael"/>
    <n v="10252"/>
    <n v="0"/>
    <n v="54670"/>
    <s v="Production Technician I"/>
    <d v="1974-01-12T00:00:00"/>
    <s v="F"/>
    <s v="US Citizen"/>
    <d v="2011-01-10T00:00:00"/>
    <d v="2017-01-12T00:00:00"/>
    <s v="Another position"/>
    <s v="Voluntarily Terminated"/>
    <s v="Production"/>
    <s v="David Stanley"/>
    <x v="7"/>
    <x v="9"/>
  </r>
  <r>
    <s v="Barbara, Thomas"/>
    <n v="10242"/>
    <n v="1"/>
    <n v="47211"/>
    <s v="Production Technician I"/>
    <d v="1974-02-21T00:00:00"/>
    <s v="M "/>
    <s v="US Citizen"/>
    <d v="2012-04-02T00:00:00"/>
    <d v="2016-09-19T00:00:00"/>
    <s v="unhappy"/>
    <s v="Voluntarily Terminated"/>
    <s v="Production"/>
    <s v="Kissy Sullivan"/>
    <x v="7"/>
    <x v="10"/>
  </r>
  <r>
    <s v="Barbossa, Hector"/>
    <n v="10012"/>
    <n v="1"/>
    <n v="92328"/>
    <s v="Data Analyst"/>
    <d v="1988-07-04T00:00:00"/>
    <s v="M "/>
    <s v="US Citizen"/>
    <d v="2014-11-10T00:00:00"/>
    <m/>
    <s v="N/A-StillEmployed"/>
    <s v="Active"/>
    <s v="IT/IS"/>
    <s v="Simon Roup"/>
    <x v="2"/>
    <x v="5"/>
  </r>
  <r>
    <s v="Barone, Francesco  A"/>
    <n v="10265"/>
    <n v="1"/>
    <n v="58709"/>
    <s v="Production Technician I"/>
    <d v="1983-07-20T00:00:00"/>
    <s v="M "/>
    <s v="US Citizen"/>
    <d v="2012-02-20T00:00:00"/>
    <m/>
    <s v="N/A-StillEmployed"/>
    <s v="Active"/>
    <s v="Production"/>
    <s v="Kelley Spirea"/>
    <x v="0"/>
    <x v="4"/>
  </r>
  <r>
    <s v="Barton, Nader"/>
    <n v="10066"/>
    <n v="1"/>
    <n v="52505"/>
    <s v="Production Technician I"/>
    <d v="1977-07-15T00:00:00"/>
    <s v="M "/>
    <s v="US Citizen"/>
    <d v="2012-09-24T00:00:00"/>
    <d v="2017-04-06T00:00:00"/>
    <s v="Another position"/>
    <s v="Voluntarily Terminated"/>
    <s v="Production"/>
    <s v="Michael Albert"/>
    <x v="4"/>
    <x v="10"/>
  </r>
  <r>
    <s v="Bates, Norman"/>
    <n v="10061"/>
    <n v="1"/>
    <n v="57834"/>
    <s v="Production Technician I"/>
    <d v="1981-10-18T00:00:00"/>
    <s v="M "/>
    <s v="US Citizen"/>
    <d v="2011-02-21T00:00:00"/>
    <d v="2017-08-04T00:00:00"/>
    <s v="attendance"/>
    <s v="Terminated for Cause"/>
    <s v="Production"/>
    <s v="Kelley Spirea"/>
    <x v="8"/>
    <x v="9"/>
  </r>
  <r>
    <s v="Beak, Kimberly"/>
    <n v="10023"/>
    <n v="0"/>
    <n v="70131"/>
    <s v="Production Technician II"/>
    <d v="1966-04-17T00:00:00"/>
    <s v="F"/>
    <s v="US Citizen"/>
    <d v="2016-07-21T00:00:00"/>
    <m/>
    <s v="N/A-StillEmployed"/>
    <s v="Active"/>
    <s v="Production"/>
    <s v="Kelley Spirea"/>
    <x v="9"/>
    <x v="11"/>
  </r>
  <r>
    <s v="Beatrice, Courtney"/>
    <n v="10055"/>
    <n v="0"/>
    <n v="59026"/>
    <s v="Production Technician I"/>
    <d v="1970-10-27T00:00:00"/>
    <s v="F"/>
    <s v="Eligible NonCitizen"/>
    <d v="2011-04-04T00:00:00"/>
    <m/>
    <s v="N/A-StillEmployed"/>
    <s v="Active"/>
    <s v="Production"/>
    <s v="Elijiah Gray"/>
    <x v="6"/>
    <x v="0"/>
  </r>
  <r>
    <s v="Becker, Renee"/>
    <n v="10245"/>
    <n v="0"/>
    <n v="110000"/>
    <s v="Database Administrator"/>
    <d v="1986-04-04T00:00:00"/>
    <s v="F"/>
    <s v="US Citizen"/>
    <d v="2014-07-07T00:00:00"/>
    <d v="2015-09-12T00:00:00"/>
    <s v="performance"/>
    <s v="Terminated for Cause"/>
    <s v="IT/IS"/>
    <s v="Simon Roup"/>
    <x v="10"/>
    <x v="1"/>
  </r>
  <r>
    <s v="Becker, Scott"/>
    <n v="10277"/>
    <n v="1"/>
    <n v="53250"/>
    <s v="Production Technician I"/>
    <d v="1979-04-06T00:00:00"/>
    <s v="M "/>
    <s v="US Citizen"/>
    <d v="2013-07-08T00:00:00"/>
    <m/>
    <s v="N/A-StillEmployed"/>
    <s v="Active"/>
    <s v="Production"/>
    <s v="Webster Butler"/>
    <x v="5"/>
    <x v="6"/>
  </r>
  <r>
    <s v="Bernstein, Sean"/>
    <n v="10046"/>
    <n v="1"/>
    <n v="51044"/>
    <s v="Production Technician I"/>
    <d v="1970-12-22T00:00:00"/>
    <s v="M "/>
    <s v="US Citizen"/>
    <d v="2012-04-02T00:00:00"/>
    <m/>
    <s v="N/A-StillEmployed"/>
    <s v="Active"/>
    <s v="Production"/>
    <s v="Amy Dunn"/>
    <x v="11"/>
    <x v="4"/>
  </r>
  <r>
    <s v="Biden, Lowan  M"/>
    <n v="10226"/>
    <n v="0"/>
    <n v="64919"/>
    <s v="Production Technician I"/>
    <d v="1958-12-27T00:00:00"/>
    <s v="F"/>
    <s v="US Citizen"/>
    <d v="2013-08-19T00:00:00"/>
    <m/>
    <s v="N/A-StillEmployed"/>
    <s v="Active"/>
    <s v="Production"/>
    <s v="Ketsia Liebig"/>
    <x v="12"/>
    <x v="6"/>
  </r>
  <r>
    <s v="Billis, Helen"/>
    <n v="10003"/>
    <n v="0"/>
    <n v="62910"/>
    <s v="Production Technician I"/>
    <d v="1989-09-01T00:00:00"/>
    <s v="F"/>
    <s v="US Citizen"/>
    <d v="2014-07-07T00:00:00"/>
    <m/>
    <s v="N/A-StillEmployed"/>
    <s v="Active"/>
    <s v="Production"/>
    <s v="Brannon Miller"/>
    <x v="3"/>
    <x v="5"/>
  </r>
  <r>
    <s v="Blount, Dianna"/>
    <n v="10294"/>
    <n v="0"/>
    <n v="66441"/>
    <s v="Production Technician II"/>
    <d v="1990-09-21T00:00:00"/>
    <s v="F"/>
    <s v="US Citizen"/>
    <d v="2011-04-04T00:00:00"/>
    <m/>
    <s v="N/A-StillEmployed"/>
    <s v="Active"/>
    <s v="Production"/>
    <s v="Michael Albert"/>
    <x v="13"/>
    <x v="0"/>
  </r>
  <r>
    <s v="Bondwell, Betsy"/>
    <n v="10267"/>
    <n v="0"/>
    <n v="57815"/>
    <s v="Production Technician II"/>
    <d v="1967-01-16T00:00:00"/>
    <s v="F"/>
    <s v="US Citizen"/>
    <d v="2011-01-10T00:00:00"/>
    <d v="2014-04-04T00:00:00"/>
    <s v="career change"/>
    <s v="Voluntarily Terminated"/>
    <s v="Production"/>
    <s v="Elijiah Gray"/>
    <x v="14"/>
    <x v="12"/>
  </r>
  <r>
    <s v="Booth, Frank"/>
    <n v="10199"/>
    <n v="1"/>
    <n v="103613"/>
    <s v="Enterprise Architect"/>
    <d v="1964-07-30T00:00:00"/>
    <s v="M "/>
    <s v="US Citizen"/>
    <d v="2014-02-17T00:00:00"/>
    <d v="2016-02-19T00:00:00"/>
    <s v="Learned that he is a gangster"/>
    <s v="Terminated for Cause"/>
    <s v="IT/IS"/>
    <s v="Simon Roup"/>
    <x v="15"/>
    <x v="13"/>
  </r>
  <r>
    <s v="Boutwell, Bonalyn"/>
    <n v="10081"/>
    <n v="0"/>
    <n v="106367"/>
    <s v="Sr. Accountant"/>
    <d v="1987-04-04T00:00:00"/>
    <s v="F"/>
    <s v="US Citizen"/>
    <d v="2015-02-16T00:00:00"/>
    <m/>
    <s v="N/A-StillEmployed"/>
    <s v="Active"/>
    <s v="Admin Offices"/>
    <s v="Brandon R. LeBlanc"/>
    <x v="16"/>
    <x v="8"/>
  </r>
  <r>
    <s v="Bozzi, Charles"/>
    <n v="10175"/>
    <n v="1"/>
    <n v="74312"/>
    <s v="Production Manager"/>
    <d v="1970-03-10T00:00:00"/>
    <s v="M "/>
    <s v="US Citizen"/>
    <d v="2013-09-30T00:00:00"/>
    <d v="2014-08-07T00:00:00"/>
    <s v="retiring"/>
    <s v="Voluntarily Terminated"/>
    <s v="Production"/>
    <s v="Janet King"/>
    <x v="6"/>
    <x v="14"/>
  </r>
  <r>
    <s v="Brill, Donna"/>
    <n v="10177"/>
    <n v="0"/>
    <n v="53492"/>
    <s v="Production Technician I"/>
    <d v="1990-08-24T00:00:00"/>
    <s v="F"/>
    <s v="US Citizen"/>
    <d v="2012-04-02T00:00:00"/>
    <d v="2013-06-15T00:00:00"/>
    <s v="Another position"/>
    <s v="Voluntarily Terminated"/>
    <s v="Production"/>
    <s v="David Stanley"/>
    <x v="13"/>
    <x v="1"/>
  </r>
  <r>
    <s v="Brown, Mia"/>
    <n v="10238"/>
    <n v="0"/>
    <n v="63000"/>
    <s v="Accountant I"/>
    <d v="1987-11-24T00:00:00"/>
    <s v="F"/>
    <s v="US Citizen"/>
    <d v="2008-10-27T00:00:00"/>
    <m/>
    <s v="N/A-StillEmployed"/>
    <s v="Active"/>
    <s v="Admin Offices"/>
    <s v="Brandon R. LeBlanc"/>
    <x v="16"/>
    <x v="2"/>
  </r>
  <r>
    <s v="Buccheri, Joseph"/>
    <n v="10184"/>
    <n v="1"/>
    <n v="65288"/>
    <s v="Production Technician II"/>
    <d v="1983-07-28T00:00:00"/>
    <s v="M "/>
    <s v="US Citizen"/>
    <d v="2014-09-29T00:00:00"/>
    <m/>
    <s v="N/A-StillEmployed"/>
    <s v="Active"/>
    <s v="Production"/>
    <s v="Webster Butler"/>
    <x v="0"/>
    <x v="5"/>
  </r>
  <r>
    <s v="Bugali, Josephine"/>
    <n v="10203"/>
    <n v="0"/>
    <n v="64375"/>
    <s v="Production Technician I"/>
    <d v="1969-10-30T00:00:00"/>
    <s v="F"/>
    <s v="US Citizen"/>
    <d v="2013-11-11T00:00:00"/>
    <m/>
    <s v="N/A-StillEmployed"/>
    <s v="Active"/>
    <s v="Production"/>
    <s v="Kissy Sullivan"/>
    <x v="17"/>
    <x v="6"/>
  </r>
  <r>
    <s v="Bunbury, Jessica"/>
    <n v="10188"/>
    <n v="0"/>
    <n v="74326"/>
    <s v="Area Sales Manager"/>
    <d v="1964-06-01T00:00:00"/>
    <s v="F"/>
    <s v="Eligible NonCitizen"/>
    <d v="2011-08-15T00:00:00"/>
    <d v="2014-08-02T00:00:00"/>
    <s v="Another position"/>
    <s v="Voluntarily Terminated"/>
    <s v="Sales"/>
    <s v="John Smith"/>
    <x v="15"/>
    <x v="13"/>
  </r>
  <r>
    <s v="Burke, Joelle"/>
    <n v="10107"/>
    <n v="0"/>
    <n v="63763"/>
    <s v="Production Technician II"/>
    <d v="1980-03-02T00:00:00"/>
    <s v="F"/>
    <s v="US Citizen"/>
    <d v="2012-03-05T00:00:00"/>
    <m/>
    <s v="N/A-StillEmployed"/>
    <s v="Active"/>
    <s v="Production"/>
    <s v="Amy Dunn"/>
    <x v="18"/>
    <x v="4"/>
  </r>
  <r>
    <s v="Burkett, Benjamin"/>
    <n v="10181"/>
    <n v="1"/>
    <n v="62162"/>
    <s v="Production Technician II"/>
    <d v="1977-08-19T00:00:00"/>
    <s v="M "/>
    <s v="US Citizen"/>
    <d v="2011-04-04T00:00:00"/>
    <m/>
    <s v="N/A-StillEmployed"/>
    <s v="Active"/>
    <s v="Production"/>
    <s v="Ketsia Liebig"/>
    <x v="4"/>
    <x v="0"/>
  </r>
  <r>
    <s v="Cady, Max"/>
    <n v="10150"/>
    <n v="1"/>
    <n v="77692"/>
    <s v="Software Engineering Manager"/>
    <d v="1966-11-22T00:00:00"/>
    <s v="M "/>
    <s v="US Citizen"/>
    <d v="2011-08-15T00:00:00"/>
    <m/>
    <s v="N/A-StillEmployed"/>
    <s v="Active"/>
    <s v="Software Engineering"/>
    <s v="Jennifer Zamora"/>
    <x v="9"/>
    <x v="0"/>
  </r>
  <r>
    <s v="Candie, Calvin"/>
    <n v="10001"/>
    <n v="1"/>
    <n v="72640"/>
    <s v="Production Manager"/>
    <d v="1983-08-09T00:00:00"/>
    <s v="M "/>
    <s v="US Citizen"/>
    <d v="2016-01-28T00:00:00"/>
    <m/>
    <s v="N/A-StillEmployed"/>
    <s v="Active"/>
    <s v="Production"/>
    <s v="Janet King"/>
    <x v="0"/>
    <x v="11"/>
  </r>
  <r>
    <s v="Carabbio, Judith"/>
    <n v="10085"/>
    <n v="0"/>
    <n v="93396"/>
    <s v="Software Engineer"/>
    <d v="1987-04-05T00:00:00"/>
    <s v="F"/>
    <s v="US Citizen"/>
    <d v="2013-11-11T00:00:00"/>
    <m/>
    <s v="N/A-StillEmployed"/>
    <s v="Active"/>
    <s v="Software Engineering"/>
    <s v="Alex Sweetwater"/>
    <x v="16"/>
    <x v="6"/>
  </r>
  <r>
    <s v="Carey, Michael"/>
    <n v="10115"/>
    <n v="1"/>
    <n v="52846"/>
    <s v="Production Technician I"/>
    <d v="1983-02-02T00:00:00"/>
    <s v="M "/>
    <s v="US Citizen"/>
    <d v="2014-03-31T00:00:00"/>
    <m/>
    <s v="N/A-StillEmployed"/>
    <s v="Active"/>
    <s v="Production"/>
    <s v="Kelley Spirea"/>
    <x v="0"/>
    <x v="5"/>
  </r>
  <r>
    <s v="Carr, Claudia  N"/>
    <n v="10082"/>
    <n v="0"/>
    <n v="100031"/>
    <s v="Sr. DBA"/>
    <d v="1986-06-06T00:00:00"/>
    <s v="F"/>
    <s v="US Citizen"/>
    <d v="2016-06-30T00:00:00"/>
    <m/>
    <s v="N/A-StillEmployed"/>
    <s v="Active"/>
    <s v="IT/IS"/>
    <s v="Simon Roup"/>
    <x v="10"/>
    <x v="11"/>
  </r>
  <r>
    <s v="Carter, Michelle"/>
    <n v="10040"/>
    <n v="0"/>
    <n v="71860"/>
    <s v="Area Sales Manager"/>
    <d v="1963-05-15T00:00:00"/>
    <s v="F"/>
    <s v="US Citizen"/>
    <d v="2014-08-18T00:00:00"/>
    <m/>
    <s v="N/A-StillEmployed"/>
    <s v="Active"/>
    <s v="Sales"/>
    <s v="John Smith"/>
    <x v="19"/>
    <x v="5"/>
  </r>
  <r>
    <s v="Chace, Beatrice"/>
    <n v="10067"/>
    <n v="0"/>
    <n v="61656"/>
    <s v="Production Technician I"/>
    <d v="1951-01-02T00:00:00"/>
    <s v="F"/>
    <s v="US Citizen"/>
    <d v="2014-09-29T00:00:00"/>
    <m/>
    <s v="N/A-StillEmployed"/>
    <s v="Active"/>
    <s v="Production"/>
    <s v="Michael Albert"/>
    <x v="20"/>
    <x v="5"/>
  </r>
  <r>
    <s v="Champaigne, Brian"/>
    <n v="10108"/>
    <n v="1"/>
    <n v="110929"/>
    <s v="BI Director"/>
    <d v="1972-02-09T00:00:00"/>
    <s v="M "/>
    <s v="US Citizen"/>
    <d v="2016-09-06T00:00:00"/>
    <m/>
    <s v="N/A-StillEmployed"/>
    <s v="Active"/>
    <s v="IT/IS"/>
    <s v="Jennifer Zamora"/>
    <x v="21"/>
    <x v="11"/>
  </r>
  <r>
    <s v="Chan, Lin"/>
    <n v="10210"/>
    <n v="0"/>
    <n v="54237"/>
    <s v="Production Technician I"/>
    <d v="1979-02-12T00:00:00"/>
    <s v="F"/>
    <s v="US Citizen"/>
    <d v="2014-05-12T00:00:00"/>
    <m/>
    <s v="N/A-StillEmployed"/>
    <s v="Active"/>
    <s v="Production"/>
    <s v="Elijiah Gray"/>
    <x v="5"/>
    <x v="5"/>
  </r>
  <r>
    <s v="Chang, Donovan  E"/>
    <n v="10154"/>
    <n v="1"/>
    <n v="60380"/>
    <s v="Production Technician I"/>
    <d v="1983-08-24T00:00:00"/>
    <s v="M "/>
    <s v="US Citizen"/>
    <d v="2013-07-08T00:00:00"/>
    <m/>
    <s v="N/A-StillEmployed"/>
    <s v="Active"/>
    <s v="Production"/>
    <s v="Webster Butler"/>
    <x v="0"/>
    <x v="6"/>
  </r>
  <r>
    <s v="Chigurh, Anton"/>
    <n v="10200"/>
    <n v="1"/>
    <n v="66808"/>
    <s v="Area Sales Manager"/>
    <d v="1970-06-11T00:00:00"/>
    <s v="M "/>
    <s v="Eligible NonCitizen"/>
    <d v="2012-05-14T00:00:00"/>
    <m/>
    <s v="N/A-StillEmployed"/>
    <s v="Active"/>
    <s v="Sales"/>
    <s v="Lynn Daneault"/>
    <x v="6"/>
    <x v="4"/>
  </r>
  <r>
    <s v="Chivukula, Enola"/>
    <n v="10240"/>
    <n v="0"/>
    <n v="64786"/>
    <s v="Production Technician I"/>
    <d v="1983-08-27T00:00:00"/>
    <s v="F"/>
    <s v="US Citizen"/>
    <d v="2011-06-27T00:00:00"/>
    <d v="2015-11-15T00:00:00"/>
    <s v="relocation out of area"/>
    <s v="Voluntarily Terminated"/>
    <s v="Production"/>
    <s v="Amy Dunn"/>
    <x v="0"/>
    <x v="10"/>
  </r>
  <r>
    <s v="Cierpiszewski, Caroline"/>
    <n v="10168"/>
    <n v="0"/>
    <n v="64816"/>
    <s v="Production Technician I"/>
    <d v="1988-05-31T00:00:00"/>
    <s v="F"/>
    <s v="Non-Citizen"/>
    <d v="2011-10-03T00:00:00"/>
    <m/>
    <s v="N/A-StillEmployed"/>
    <s v="Active"/>
    <s v="Production"/>
    <s v="Ketsia Liebig"/>
    <x v="2"/>
    <x v="0"/>
  </r>
  <r>
    <s v="Clayton, Rick"/>
    <n v="10220"/>
    <n v="1"/>
    <n v="68678"/>
    <s v="IT Support"/>
    <d v="1985-09-05T00:00:00"/>
    <s v="M "/>
    <s v="US Citizen"/>
    <d v="2012-09-05T00:00:00"/>
    <m/>
    <s v="N/A-StillEmployed"/>
    <s v="Active"/>
    <s v="IT/IS"/>
    <s v="Eric Dougall"/>
    <x v="22"/>
    <x v="4"/>
  </r>
  <r>
    <s v="Cloninger, Jennifer"/>
    <n v="10275"/>
    <n v="0"/>
    <n v="64066"/>
    <s v="Production Technician II"/>
    <d v="1981-08-31T00:00:00"/>
    <s v="F"/>
    <s v="US Citizen"/>
    <d v="2011-05-16T00:00:00"/>
    <d v="2013-01-07T00:00:00"/>
    <s v="unhappy"/>
    <s v="Voluntarily Terminated"/>
    <s v="Production"/>
    <s v="Brannon Miller"/>
    <x v="8"/>
    <x v="1"/>
  </r>
  <r>
    <s v="Close, Phil"/>
    <n v="10269"/>
    <n v="1"/>
    <n v="59369"/>
    <s v="Production Technician II"/>
    <d v="1978-11-25T00:00:00"/>
    <s v="M "/>
    <s v="US Citizen"/>
    <d v="2010-08-30T00:00:00"/>
    <d v="2011-09-26T00:00:00"/>
    <s v="career change"/>
    <s v="Voluntarily Terminated"/>
    <s v="Production"/>
    <s v="David Stanley"/>
    <x v="23"/>
    <x v="1"/>
  </r>
  <r>
    <s v="Clukey, Elijian"/>
    <n v="10029"/>
    <n v="1"/>
    <n v="50373"/>
    <s v="Production Technician I"/>
    <d v="1980-08-26T00:00:00"/>
    <s v="M "/>
    <s v="US Citizen"/>
    <d v="2016-07-06T00:00:00"/>
    <m/>
    <s v="N/A-StillEmployed"/>
    <s v="Active"/>
    <s v="Production"/>
    <s v="Brannon Miller"/>
    <x v="18"/>
    <x v="11"/>
  </r>
  <r>
    <s v="Cockel, James"/>
    <n v="10261"/>
    <n v="1"/>
    <n v="63108"/>
    <s v="Production Technician I"/>
    <d v="1977-09-08T00:00:00"/>
    <s v="M "/>
    <s v="US Citizen"/>
    <d v="2013-07-08T00:00:00"/>
    <m/>
    <s v="N/A-StillEmployed"/>
    <s v="Active"/>
    <s v="Production"/>
    <s v="David Stanley"/>
    <x v="4"/>
    <x v="6"/>
  </r>
  <r>
    <s v="Cole, Spencer"/>
    <n v="10292"/>
    <n v="1"/>
    <n v="59144"/>
    <s v="Production Technician I"/>
    <d v="1979-08-12T00:00:00"/>
    <s v="M "/>
    <s v="US Citizen"/>
    <d v="2011-07-11T00:00:00"/>
    <d v="2016-09-23T00:00:00"/>
    <s v="performance"/>
    <s v="Terminated for Cause"/>
    <s v="Production"/>
    <s v="Kissy Sullivan"/>
    <x v="5"/>
    <x v="3"/>
  </r>
  <r>
    <s v="Corleone, Michael"/>
    <n v="10282"/>
    <n v="1"/>
    <n v="68051"/>
    <s v="Production Manager"/>
    <d v="1975-12-17T00:00:00"/>
    <s v="M "/>
    <s v="US Citizen"/>
    <d v="2010-07-20T00:00:00"/>
    <m/>
    <s v="N/A-StillEmployed"/>
    <s v="Active"/>
    <s v="Production"/>
    <s v="Janet King"/>
    <x v="24"/>
    <x v="15"/>
  </r>
  <r>
    <s v="Corleone, Vito"/>
    <n v="10019"/>
    <n v="1"/>
    <n v="170500"/>
    <s v="Director of Operations"/>
    <d v="1983-03-19T00:00:00"/>
    <s v="M "/>
    <s v="US Citizen"/>
    <d v="2009-01-05T00:00:00"/>
    <m/>
    <s v="N/A-StillEmployed"/>
    <s v="Active"/>
    <s v="Production"/>
    <s v="Janet King"/>
    <x v="0"/>
    <x v="7"/>
  </r>
  <r>
    <s v="Cornett, Lisa"/>
    <n v="10094"/>
    <n v="0"/>
    <n v="63381"/>
    <s v="Production Technician I"/>
    <d v="1977-03-31T00:00:00"/>
    <s v="F"/>
    <s v="US Citizen"/>
    <d v="2015-01-05T00:00:00"/>
    <m/>
    <s v="N/A-StillEmployed"/>
    <s v="Active"/>
    <s v="Production"/>
    <s v="Kelley Spirea"/>
    <x v="4"/>
    <x v="8"/>
  </r>
  <r>
    <s v="Costello, Frank"/>
    <n v="10193"/>
    <n v="1"/>
    <n v="83552"/>
    <s v="Data Analyst"/>
    <d v="1986-08-26T00:00:00"/>
    <s v="M "/>
    <s v="US Citizen"/>
    <d v="2015-03-30T00:00:00"/>
    <m/>
    <s v="N/A-StillEmployed"/>
    <s v="Active"/>
    <s v="IT/IS"/>
    <s v="Simon Roup"/>
    <x v="10"/>
    <x v="8"/>
  </r>
  <r>
    <s v="Crimmings,   Jean"/>
    <n v="10132"/>
    <n v="0"/>
    <n v="56149"/>
    <s v="Production Technician I"/>
    <d v="1987-04-10T00:00:00"/>
    <s v="F"/>
    <s v="US Citizen"/>
    <d v="2016-07-06T00:00:00"/>
    <m/>
    <s v="N/A-StillEmployed"/>
    <s v="Active"/>
    <s v="Production"/>
    <s v="Michael Albert"/>
    <x v="16"/>
    <x v="11"/>
  </r>
  <r>
    <s v="Cross, Noah"/>
    <n v="10083"/>
    <n v="1"/>
    <n v="92329"/>
    <s v="Sr. Network Engineer"/>
    <d v="1965-09-09T00:00:00"/>
    <s v="M "/>
    <s v="US Citizen"/>
    <d v="2014-11-10T00:00:00"/>
    <m/>
    <s v="N/A-StillEmployed"/>
    <s v="Active"/>
    <s v="IT/IS"/>
    <s v="Peter Monroe"/>
    <x v="25"/>
    <x v="5"/>
  </r>
  <r>
    <s v="Daneault, Lynn"/>
    <n v="10099"/>
    <n v="0"/>
    <n v="65729"/>
    <s v="Sales Manager"/>
    <d v="1990-04-19T00:00:00"/>
    <s v="F"/>
    <s v="US Citizen"/>
    <d v="2014-05-05T00:00:00"/>
    <m/>
    <s v="N/A-StillEmployed"/>
    <s v="Active"/>
    <s v="Sales"/>
    <s v="Debra Houlihan"/>
    <x v="13"/>
    <x v="5"/>
  </r>
  <r>
    <s v="Daniele, Ann"/>
    <n v="10212"/>
    <n v="0"/>
    <n v="85028"/>
    <s v="Sr. Network Engineer"/>
    <d v="1952-01-18T00:00:00"/>
    <s v="F"/>
    <s v="US Citizen"/>
    <d v="2014-11-10T00:00:00"/>
    <m/>
    <s v="N/A-StillEmployed"/>
    <s v="Active"/>
    <s v="IT/IS"/>
    <s v="Peter Monroe"/>
    <x v="26"/>
    <x v="5"/>
  </r>
  <r>
    <s v="Darson, Jene'ya"/>
    <n v="10056"/>
    <n v="0"/>
    <n v="57583"/>
    <s v="Production Technician I"/>
    <d v="1978-11-05T00:00:00"/>
    <s v="F"/>
    <s v="US Citizen"/>
    <d v="2012-07-02T00:00:00"/>
    <m/>
    <s v="N/A-StillEmployed"/>
    <s v="Active"/>
    <s v="Production"/>
    <s v="Elijiah Gray"/>
    <x v="23"/>
    <x v="4"/>
  </r>
  <r>
    <s v="Davis, Daniel"/>
    <n v="10143"/>
    <n v="1"/>
    <n v="56294"/>
    <s v="Production Technician II"/>
    <d v="1979-09-14T00:00:00"/>
    <s v="M "/>
    <s v="Eligible NonCitizen"/>
    <d v="2011-11-07T00:00:00"/>
    <m/>
    <s v="N/A-StillEmployed"/>
    <s v="Active"/>
    <s v="Production"/>
    <s v="Kissy Sullivan"/>
    <x v="5"/>
    <x v="0"/>
  </r>
  <r>
    <s v="Dee, Randy"/>
    <n v="10311"/>
    <n v="1"/>
    <n v="56991"/>
    <s v="Production Technician I"/>
    <d v="1988-04-15T00:00:00"/>
    <s v="M "/>
    <s v="US Citizen"/>
    <d v="2018-07-09T00:00:00"/>
    <m/>
    <s v="N/A-StillEmployed"/>
    <s v="Active"/>
    <s v="Production"/>
    <s v="Brannon Miller"/>
    <x v="2"/>
    <x v="16"/>
  </r>
  <r>
    <s v="DeGweck,  James"/>
    <n v="10070"/>
    <n v="1"/>
    <n v="55722"/>
    <s v="Production Technician I"/>
    <d v="1977-10-31T00:00:00"/>
    <s v="M "/>
    <s v="US Citizen"/>
    <d v="2011-05-16T00:00:00"/>
    <d v="2016-06-08T00:00:00"/>
    <s v="unhappy"/>
    <s v="Voluntarily Terminated"/>
    <s v="Production"/>
    <s v="Webster Butler"/>
    <x v="4"/>
    <x v="3"/>
  </r>
  <r>
    <s v="Del Bosque, Keyla"/>
    <n v="10155"/>
    <n v="0"/>
    <n v="101199"/>
    <s v="Software Engineer"/>
    <d v="1979-07-05T00:00:00"/>
    <s v="F"/>
    <s v="US Citizen"/>
    <d v="2012-01-09T00:00:00"/>
    <m/>
    <s v="N/A-StillEmployed"/>
    <s v="Active"/>
    <s v="Software Engineering"/>
    <s v="Alex Sweetwater"/>
    <x v="5"/>
    <x v="4"/>
  </r>
  <r>
    <s v="Delarge, Alex"/>
    <n v="10306"/>
    <n v="1"/>
    <n v="61568"/>
    <s v="Area Sales Manager"/>
    <d v="1975-11-02T00:00:00"/>
    <s v="M "/>
    <s v="US Citizen"/>
    <d v="2014-09-29T00:00:00"/>
    <m/>
    <s v="N/A-StillEmployed"/>
    <s v="Active"/>
    <s v="Sales"/>
    <s v="John Smith"/>
    <x v="1"/>
    <x v="5"/>
  </r>
  <r>
    <s v="Demita, Carla"/>
    <n v="10100"/>
    <n v="0"/>
    <n v="58275"/>
    <s v="Production Technician II"/>
    <d v="1951-02-25T00:00:00"/>
    <s v="F"/>
    <s v="US Citizen"/>
    <d v="2011-04-04T00:00:00"/>
    <d v="2015-11-04T00:00:00"/>
    <s v="more money"/>
    <s v="Voluntarily Terminated"/>
    <s v="Production"/>
    <s v="Kelley Spirea"/>
    <x v="20"/>
    <x v="10"/>
  </r>
  <r>
    <s v="Desimone, Carl"/>
    <n v="10310"/>
    <n v="1"/>
    <n v="53189"/>
    <s v="Production Technician I"/>
    <d v="1967-04-19T00:00:00"/>
    <s v="M "/>
    <s v="US Citizen"/>
    <d v="2014-07-07T00:00:00"/>
    <m/>
    <s v="N/A-StillEmployed"/>
    <s v="Active"/>
    <s v="Production"/>
    <s v="Amy Dunn"/>
    <x v="14"/>
    <x v="5"/>
  </r>
  <r>
    <s v="DeVito, Tommy"/>
    <n v="10197"/>
    <n v="1"/>
    <n v="96820"/>
    <s v="BI Developer"/>
    <d v="1983-09-04T00:00:00"/>
    <s v="M "/>
    <s v="US Citizen"/>
    <d v="2017-02-15T00:00:00"/>
    <m/>
    <s v="N/A-StillEmployed"/>
    <s v="Active"/>
    <s v="IT/IS"/>
    <s v="Brian Champaigne"/>
    <x v="0"/>
    <x v="17"/>
  </r>
  <r>
    <s v="Dickinson, Geoff"/>
    <n v="10276"/>
    <n v="1"/>
    <n v="51259"/>
    <s v="Production Technician I"/>
    <d v="1982-11-15T00:00:00"/>
    <s v="M "/>
    <s v="US Citizen"/>
    <d v="2014-05-12T00:00:00"/>
    <m/>
    <s v="N/A-StillEmployed"/>
    <s v="Active"/>
    <s v="Production"/>
    <s v="Ketsia Liebig"/>
    <x v="27"/>
    <x v="5"/>
  </r>
  <r>
    <s v="Dietrich, Jenna"/>
    <n v="10304"/>
    <n v="0"/>
    <n v="59231"/>
    <s v="Area Sales Manager"/>
    <d v="1987-05-14T00:00:00"/>
    <s v="F"/>
    <s v="US Citizen"/>
    <d v="2012-02-20T00:00:00"/>
    <m/>
    <s v="N/A-StillEmployed"/>
    <s v="Active"/>
    <s v="Sales"/>
    <s v="John Smith"/>
    <x v="16"/>
    <x v="4"/>
  </r>
  <r>
    <s v="DiNocco, Lily"/>
    <n v="10284"/>
    <n v="0"/>
    <n v="61584"/>
    <s v="Production Technician I"/>
    <d v="1978-12-02T00:00:00"/>
    <s v="F"/>
    <s v="US Citizen"/>
    <d v="2013-01-07T00:00:00"/>
    <m/>
    <s v="N/A-StillEmployed"/>
    <s v="Active"/>
    <s v="Production"/>
    <s v="Brannon Miller"/>
    <x v="23"/>
    <x v="6"/>
  </r>
  <r>
    <s v="Dobrin, Denisa  S"/>
    <n v="10207"/>
    <n v="0"/>
    <n v="46335"/>
    <s v="Production Technician I"/>
    <d v="1986-10-07T00:00:00"/>
    <s v="F"/>
    <s v="US Citizen"/>
    <d v="2012-04-02T00:00:00"/>
    <m/>
    <s v="N/A-StillEmployed"/>
    <s v="Active"/>
    <s v="Production"/>
    <s v="David Stanley"/>
    <x v="10"/>
    <x v="4"/>
  </r>
  <r>
    <s v="Dolan, Linda"/>
    <n v="10133"/>
    <n v="0"/>
    <n v="70621"/>
    <s v="IT Support"/>
    <d v="1988-07-18T00:00:00"/>
    <s v="F"/>
    <s v="US Citizen"/>
    <d v="2015-01-05T00:00:00"/>
    <m/>
    <s v="N/A-StillEmployed"/>
    <s v="Active"/>
    <s v="IT/IS"/>
    <s v="Peter Monroe"/>
    <x v="2"/>
    <x v="8"/>
  </r>
  <r>
    <s v="Dougall, Eric"/>
    <n v="10028"/>
    <n v="1"/>
    <n v="138888"/>
    <s v="IT Manager - Support"/>
    <d v="1970-07-09T00:00:00"/>
    <s v="M "/>
    <s v="US Citizen"/>
    <d v="2014-01-05T00:00:00"/>
    <m/>
    <s v="N/A-StillEmployed"/>
    <s v="Active"/>
    <s v="IT/IS"/>
    <s v="Jennifer Zamora"/>
    <x v="6"/>
    <x v="5"/>
  </r>
  <r>
    <s v="Driver, Elle"/>
    <n v="10006"/>
    <n v="0"/>
    <n v="74241"/>
    <s v="Area Sales Manager"/>
    <d v="1988-11-08T00:00:00"/>
    <s v="F"/>
    <s v="US Citizen"/>
    <d v="2011-01-10T00:00:00"/>
    <m/>
    <s v="N/A-StillEmployed"/>
    <s v="Active"/>
    <s v="Sales"/>
    <s v="Lynn Daneault"/>
    <x v="2"/>
    <x v="0"/>
  </r>
  <r>
    <s v="Dunn, Amy"/>
    <n v="10105"/>
    <n v="0"/>
    <n v="75188"/>
    <s v="Production Manager"/>
    <d v="1973-11-28T00:00:00"/>
    <s v="F"/>
    <s v="US Citizen"/>
    <d v="2014-09-18T00:00:00"/>
    <m/>
    <s v="N/A-StillEmployed"/>
    <s v="Active"/>
    <s v="Production"/>
    <s v="Janet King"/>
    <x v="28"/>
    <x v="5"/>
  </r>
  <r>
    <s v="Dunne, Amy"/>
    <n v="10211"/>
    <n v="0"/>
    <n v="62514"/>
    <s v="Production Technician I"/>
    <d v="1973-09-23T00:00:00"/>
    <s v="F"/>
    <s v="US Citizen"/>
    <d v="2010-04-26T00:00:00"/>
    <m/>
    <s v="N/A-StillEmployed"/>
    <s v="Active"/>
    <s v="Production"/>
    <s v="Ketsia Liebig"/>
    <x v="28"/>
    <x v="15"/>
  </r>
  <r>
    <s v="Eaton, Marianne"/>
    <n v="10064"/>
    <n v="0"/>
    <n v="60070"/>
    <s v="Production Technician I"/>
    <d v="1991-09-05T00:00:00"/>
    <s v="F"/>
    <s v="US Citizen"/>
    <d v="2011-04-04T00:00:00"/>
    <d v="2017-06-06T00:00:00"/>
    <s v="military"/>
    <s v="Voluntarily Terminated"/>
    <s v="Production"/>
    <s v="Kissy Sullivan"/>
    <x v="29"/>
    <x v="9"/>
  </r>
  <r>
    <s v="Engdahl, Jean"/>
    <n v="10247"/>
    <n v="1"/>
    <n v="48888"/>
    <s v="Production Technician I"/>
    <d v="1974-05-31T00:00:00"/>
    <s v="M "/>
    <s v="US Citizen"/>
    <d v="2014-11-10T00:00:00"/>
    <m/>
    <s v="N/A-StillEmployed"/>
    <s v="Active"/>
    <s v="Production"/>
    <s v="Kelley Spirea"/>
    <x v="7"/>
    <x v="5"/>
  </r>
  <r>
    <s v="England, Rex"/>
    <n v="10235"/>
    <n v="1"/>
    <n v="54285"/>
    <s v="Production Technician I"/>
    <d v="1978-08-25T00:00:00"/>
    <s v="M "/>
    <s v="US Citizen"/>
    <d v="2014-03-31T00:00:00"/>
    <m/>
    <s v="N/A-StillEmployed"/>
    <s v="Active"/>
    <s v="Production"/>
    <s v="Kelley Spirea"/>
    <x v="23"/>
    <x v="5"/>
  </r>
  <r>
    <s v="Erilus, Angela"/>
    <n v="10299"/>
    <n v="0"/>
    <n v="56847"/>
    <s v="Production Technician II"/>
    <d v="1989-08-25T00:00:00"/>
    <s v="F"/>
    <s v="US Citizen"/>
    <d v="2014-07-07T00:00:00"/>
    <m/>
    <s v="N/A-StillEmployed"/>
    <s v="Active"/>
    <s v="Production"/>
    <s v="Michael Albert"/>
    <x v="3"/>
    <x v="5"/>
  </r>
  <r>
    <s v="Estremera, Miguel"/>
    <n v="10280"/>
    <n v="1"/>
    <n v="60340"/>
    <s v="Production Technician I"/>
    <d v="1983-09-02T00:00:00"/>
    <s v="M "/>
    <s v="US Citizen"/>
    <d v="2012-04-02T00:00:00"/>
    <d v="2018-09-27T00:00:00"/>
    <s v="attendance"/>
    <s v="Terminated for Cause"/>
    <s v="Production"/>
    <s v="Michael Albert"/>
    <x v="0"/>
    <x v="9"/>
  </r>
  <r>
    <s v="Evensen, April"/>
    <n v="10296"/>
    <n v="0"/>
    <n v="59124"/>
    <s v="Production Technician I"/>
    <d v="1989-05-06T00:00:00"/>
    <s v="F"/>
    <s v="US Citizen"/>
    <d v="2014-02-17T00:00:00"/>
    <d v="2018-02-25T00:00:00"/>
    <s v="no-call, no-show"/>
    <s v="Terminated for Cause"/>
    <s v="Production"/>
    <s v="Elijiah Gray"/>
    <x v="3"/>
    <x v="10"/>
  </r>
  <r>
    <s v="Exantus, Susan"/>
    <n v="10290"/>
    <n v="0"/>
    <n v="99280"/>
    <s v="Software Engineer"/>
    <d v="1987-05-15T00:00:00"/>
    <s v="F"/>
    <s v="US Citizen"/>
    <d v="2011-05-02T00:00:00"/>
    <d v="2013-06-05T00:00:00"/>
    <s v="attendance"/>
    <s v="Terminated for Cause"/>
    <s v="Software Engineering"/>
    <s v="Alex Sweetwater"/>
    <x v="16"/>
    <x v="13"/>
  </r>
  <r>
    <s v="Faller, Megan"/>
    <n v="10263"/>
    <n v="0"/>
    <n v="71776"/>
    <s v="Production Technician II"/>
    <d v="1978-09-22T00:00:00"/>
    <s v="F"/>
    <s v="US Citizen"/>
    <d v="2014-07-07T00:00:00"/>
    <m/>
    <s v="N/A-StillEmployed"/>
    <s v="Active"/>
    <s v="Production"/>
    <s v="Elijiah Gray"/>
    <x v="23"/>
    <x v="5"/>
  </r>
  <r>
    <s v="Fancett, Nicole"/>
    <n v="10136"/>
    <n v="0"/>
    <n v="65902"/>
    <s v="Production Technician II"/>
    <d v="1987-09-27T00:00:00"/>
    <s v="F"/>
    <s v="US Citizen"/>
    <d v="2014-02-17T00:00:00"/>
    <m/>
    <s v="N/A-StillEmployed"/>
    <s v="Active"/>
    <s v="Production"/>
    <s v="Webster Butler"/>
    <x v="16"/>
    <x v="5"/>
  </r>
  <r>
    <s v="Ferguson, Susan"/>
    <n v="10189"/>
    <n v="0"/>
    <n v="57748"/>
    <s v="Production Technician I"/>
    <d v="1955-04-14T00:00:00"/>
    <s v="F"/>
    <s v="US Citizen"/>
    <d v="2011-11-07T00:00:00"/>
    <d v="2016-05-17T00:00:00"/>
    <s v="military"/>
    <s v="Voluntarily Terminated"/>
    <s v="Production"/>
    <s v="Webster Butler"/>
    <x v="30"/>
    <x v="10"/>
  </r>
  <r>
    <s v="Fernandes, Nilson"/>
    <n v="10308"/>
    <n v="1"/>
    <n v="64057"/>
    <s v="Production Technician I"/>
    <d v="1989-10-18T00:00:00"/>
    <s v="M "/>
    <s v="US Citizen"/>
    <d v="2015-05-11T00:00:00"/>
    <m/>
    <s v="N/A-StillEmployed"/>
    <s v="Active"/>
    <s v="Production"/>
    <s v="Amy Dunn"/>
    <x v="3"/>
    <x v="8"/>
  </r>
  <r>
    <s v="Fett, Boba"/>
    <n v="10309"/>
    <n v="1"/>
    <n v="53366"/>
    <s v="Network Engineer"/>
    <d v="1987-06-18T00:00:00"/>
    <s v="M "/>
    <s v="US Citizen"/>
    <d v="2015-03-30T00:00:00"/>
    <m/>
    <s v="N/A-StillEmployed"/>
    <s v="Active"/>
    <s v="IT/IS"/>
    <s v="Peter Monroe"/>
    <x v="16"/>
    <x v="8"/>
  </r>
  <r>
    <s v="Fidelia,  Libby"/>
    <n v="10049"/>
    <n v="0"/>
    <n v="58530"/>
    <s v="Production Technician I"/>
    <d v="1981-03-16T00:00:00"/>
    <s v="F"/>
    <s v="US Citizen"/>
    <d v="2012-01-09T00:00:00"/>
    <m/>
    <s v="N/A-StillEmployed"/>
    <s v="Active"/>
    <s v="Production"/>
    <s v="Brannon Miller"/>
    <x v="8"/>
    <x v="4"/>
  </r>
  <r>
    <s v="Fitzpatrick, Michael  J"/>
    <n v="10093"/>
    <n v="1"/>
    <n v="72609"/>
    <s v="Production Technician II"/>
    <d v="1981-10-01T00:00:00"/>
    <s v="M "/>
    <s v="US Citizen"/>
    <d v="2011-05-16T00:00:00"/>
    <d v="2013-06-24T00:00:00"/>
    <s v="hours"/>
    <s v="Voluntarily Terminated"/>
    <s v="Production"/>
    <s v="Amy Dunn"/>
    <x v="8"/>
    <x v="13"/>
  </r>
  <r>
    <s v="Foreman, Tanya"/>
    <n v="10163"/>
    <n v="0"/>
    <n v="55965"/>
    <s v="Production Technician II"/>
    <d v="1983-11-08T00:00:00"/>
    <s v="F"/>
    <s v="US Citizen"/>
    <d v="2011-04-04T00:00:00"/>
    <d v="2013-01-09T00:00:00"/>
    <s v="career change"/>
    <s v="Voluntarily Terminated"/>
    <s v="Production"/>
    <s v="Ketsia Liebig"/>
    <x v="0"/>
    <x v="1"/>
  </r>
  <r>
    <s v="Forrest, Alex"/>
    <n v="10305"/>
    <n v="1"/>
    <n v="70187"/>
    <s v="Area Sales Manager"/>
    <d v="1975-07-07T00:00:00"/>
    <s v="M "/>
    <s v="US Citizen"/>
    <d v="2014-09-29T00:00:00"/>
    <d v="2018-08-19T00:00:00"/>
    <s v="Fatal attraction"/>
    <s v="Terminated for Cause"/>
    <s v="Sales"/>
    <s v="Lynn Daneault"/>
    <x v="1"/>
    <x v="12"/>
  </r>
  <r>
    <s v="Foss, Jason"/>
    <n v="10015"/>
    <n v="1"/>
    <n v="178000"/>
    <s v="IT Director"/>
    <d v="1980-07-05T00:00:00"/>
    <s v="M "/>
    <s v="US Citizen"/>
    <d v="2011-04-15T00:00:00"/>
    <m/>
    <s v="N/A-StillEmployed"/>
    <s v="Active"/>
    <s v="IT/IS"/>
    <s v="Jennifer Zamora"/>
    <x v="18"/>
    <x v="0"/>
  </r>
  <r>
    <s v="Foster-Baker, Amy"/>
    <n v="10080"/>
    <n v="0"/>
    <n v="99351"/>
    <s v="Sr. Accountant"/>
    <d v="1979-04-16T00:00:00"/>
    <s v="F"/>
    <s v="US Citizen"/>
    <d v="2009-01-05T00:00:00"/>
    <m/>
    <s v="N/A-StillEmployed"/>
    <s v="Active"/>
    <s v="Admin Offices"/>
    <s v="Board of Directors"/>
    <x v="5"/>
    <x v="7"/>
  </r>
  <r>
    <s v="Fraval, Maruk"/>
    <n v="10258"/>
    <n v="1"/>
    <n v="67251"/>
    <s v="Area Sales Manager"/>
    <d v="1963-08-28T00:00:00"/>
    <s v="M "/>
    <s v="US Citizen"/>
    <d v="2011-09-06T00:00:00"/>
    <m/>
    <s v="N/A-StillEmployed"/>
    <s v="Active"/>
    <s v="Sales"/>
    <s v="Lynn Daneault"/>
    <x v="19"/>
    <x v="0"/>
  </r>
  <r>
    <s v="Galia, Lisa"/>
    <n v="10273"/>
    <n v="0"/>
    <n v="65707"/>
    <s v="IT Support"/>
    <d v="1968-07-06T00:00:00"/>
    <s v="F"/>
    <s v="US Citizen"/>
    <d v="2010-05-01T00:00:00"/>
    <m/>
    <s v="N/A-StillEmployed"/>
    <s v="Active"/>
    <s v="IT/IS"/>
    <s v="Eric Dougall"/>
    <x v="31"/>
    <x v="15"/>
  </r>
  <r>
    <s v="Garcia, Raul"/>
    <n v="10111"/>
    <n v="1"/>
    <n v="52249"/>
    <s v="Production Technician I"/>
    <d v="1985-09-15T00:00:00"/>
    <s v="M "/>
    <s v="US Citizen"/>
    <d v="2015-03-30T00:00:00"/>
    <m/>
    <s v="N/A-StillEmployed"/>
    <s v="Active"/>
    <s v="Production"/>
    <s v="David Stanley"/>
    <x v="22"/>
    <x v="8"/>
  </r>
  <r>
    <s v="Gaul, Barbara"/>
    <n v="10257"/>
    <n v="0"/>
    <n v="53171"/>
    <s v="Production Technician I"/>
    <d v="1983-12-02T00:00:00"/>
    <s v="F"/>
    <s v="US Citizen"/>
    <d v="2011-05-16T00:00:00"/>
    <m/>
    <s v="N/A-StillEmployed"/>
    <s v="Active"/>
    <s v="Production"/>
    <s v="Kelley Spirea"/>
    <x v="0"/>
    <x v="0"/>
  </r>
  <r>
    <s v="Gentry, Mildred"/>
    <n v="10159"/>
    <n v="0"/>
    <n v="51337"/>
    <s v="Production Technician I"/>
    <d v="1990-10-01T00:00:00"/>
    <s v="F"/>
    <s v="US Citizen"/>
    <d v="2015-03-30T00:00:00"/>
    <m/>
    <s v="N/A-StillEmployed"/>
    <s v="Active"/>
    <s v="Production"/>
    <s v="Michael Albert"/>
    <x v="13"/>
    <x v="8"/>
  </r>
  <r>
    <s v="Gerke, Melisa"/>
    <n v="10122"/>
    <n v="0"/>
    <n v="51505"/>
    <s v="Production Technician I"/>
    <d v="1970-05-15T00:00:00"/>
    <s v="F"/>
    <s v="US Citizen"/>
    <d v="2011-11-07T00:00:00"/>
    <d v="2016-11-15T00:00:00"/>
    <s v="hours"/>
    <s v="Voluntarily Terminated"/>
    <s v="Production"/>
    <s v="Elijiah Gray"/>
    <x v="6"/>
    <x v="3"/>
  </r>
  <r>
    <s v="Gill, Whitney"/>
    <n v="10142"/>
    <n v="0"/>
    <n v="59370"/>
    <s v="Area Sales Manager"/>
    <d v="1971-07-10T00:00:00"/>
    <s v="F"/>
    <s v="US Citizen"/>
    <d v="2014-07-07T00:00:00"/>
    <d v="2015-09-05T00:00:00"/>
    <s v="attendance"/>
    <s v="Terminated for Cause"/>
    <s v="Sales"/>
    <s v="John Smith"/>
    <x v="11"/>
    <x v="1"/>
  </r>
  <r>
    <s v="Gilles, Alex"/>
    <n v="10283"/>
    <n v="1"/>
    <n v="54933"/>
    <s v="Production Technician I"/>
    <d v="1974-08-09T00:00:00"/>
    <s v="M "/>
    <s v="US Citizen"/>
    <d v="2012-04-02T00:00:00"/>
    <d v="2015-06-25T00:00:00"/>
    <s v="military"/>
    <s v="Voluntarily Terminated"/>
    <s v="Production"/>
    <s v="Webster Butler"/>
    <x v="7"/>
    <x v="12"/>
  </r>
  <r>
    <s v="Girifalco, Evelyn"/>
    <n v="10018"/>
    <n v="0"/>
    <n v="57815"/>
    <s v="Production Technician I"/>
    <d v="1980-05-08T00:00:00"/>
    <s v="F"/>
    <s v="US Citizen"/>
    <d v="2014-09-29T00:00:00"/>
    <m/>
    <s v="N/A-StillEmployed"/>
    <s v="Active"/>
    <s v="Production"/>
    <s v="Amy Dunn"/>
    <x v="18"/>
    <x v="5"/>
  </r>
  <r>
    <s v="Givens, Myriam"/>
    <n v="10255"/>
    <n v="0"/>
    <n v="61555"/>
    <s v="Area Sales Manager"/>
    <d v="1989-09-22T00:00:00"/>
    <s v="F"/>
    <s v="US Citizen"/>
    <d v="2015-02-16T00:00:00"/>
    <m/>
    <s v="N/A-StillEmployed"/>
    <s v="Active"/>
    <s v="Sales"/>
    <s v="Lynn Daneault"/>
    <x v="3"/>
    <x v="8"/>
  </r>
  <r>
    <s v="Goble, Taisha"/>
    <n v="10246"/>
    <n v="0"/>
    <n v="114800"/>
    <s v="Database Administrator"/>
    <d v="1971-10-23T00:00:00"/>
    <s v="F"/>
    <s v="US Citizen"/>
    <d v="2015-02-16T00:00:00"/>
    <d v="2015-03-15T00:00:00"/>
    <s v="no-call, no-show"/>
    <s v="Terminated for Cause"/>
    <s v="IT/IS"/>
    <s v="Simon Roup"/>
    <x v="11"/>
    <x v="14"/>
  </r>
  <r>
    <s v="Goeth, Amon"/>
    <n v="10228"/>
    <n v="1"/>
    <n v="74679"/>
    <s v="IT Support"/>
    <d v="1989-11-24T00:00:00"/>
    <s v="M "/>
    <s v="US Citizen"/>
    <d v="2015-03-30T00:00:00"/>
    <m/>
    <s v="N/A-StillEmployed"/>
    <s v="Active"/>
    <s v="IT/IS"/>
    <s v="Peter Monroe"/>
    <x v="3"/>
    <x v="8"/>
  </r>
  <r>
    <s v="Gold, Shenice"/>
    <n v="10243"/>
    <n v="0"/>
    <n v="53018"/>
    <s v="Production Technician I"/>
    <d v="1992-06-18T00:00:00"/>
    <s v="F"/>
    <s v="US Citizen"/>
    <d v="2013-11-11T00:00:00"/>
    <m/>
    <s v="N/A-StillEmployed"/>
    <s v="Active"/>
    <s v="Production"/>
    <s v="Ketsia Liebig"/>
    <x v="32"/>
    <x v="6"/>
  </r>
  <r>
    <s v="Gonzalez, Cayo"/>
    <n v="10031"/>
    <n v="1"/>
    <n v="59892"/>
    <s v="Production Technician I"/>
    <d v="1969-09-29T00:00:00"/>
    <s v="M "/>
    <s v="US Citizen"/>
    <d v="2011-07-11T00:00:00"/>
    <m/>
    <s v="N/A-StillEmployed"/>
    <s v="Active"/>
    <s v="Production"/>
    <s v="Brannon Miller"/>
    <x v="17"/>
    <x v="0"/>
  </r>
  <r>
    <s v="Gonzalez, Juan"/>
    <n v="10300"/>
    <n v="1"/>
    <n v="68898"/>
    <s v="Production Technician II"/>
    <d v="1964-10-12T00:00:00"/>
    <s v="M "/>
    <s v="US Citizen"/>
    <d v="2010-04-26T00:00:00"/>
    <d v="2011-05-30T00:00:00"/>
    <s v="career change"/>
    <s v="Voluntarily Terminated"/>
    <s v="Production"/>
    <s v="Brannon Miller"/>
    <x v="15"/>
    <x v="1"/>
  </r>
  <r>
    <s v="Gonzalez, Maria"/>
    <n v="10101"/>
    <n v="0"/>
    <n v="61242"/>
    <s v="IT Support"/>
    <d v="1981-04-16T00:00:00"/>
    <s v="F"/>
    <s v="US Citizen"/>
    <d v="2015-01-05T00:00:00"/>
    <m/>
    <s v="N/A-StillEmployed"/>
    <s v="Active"/>
    <s v="IT/IS"/>
    <s v="Peter Monroe"/>
    <x v="8"/>
    <x v="8"/>
  </r>
  <r>
    <s v="Good, Susan"/>
    <n v="10237"/>
    <n v="0"/>
    <n v="66825"/>
    <s v="Production Technician II"/>
    <d v="1986-05-25T00:00:00"/>
    <s v="F"/>
    <s v="US Citizen"/>
    <d v="2014-05-12T00:00:00"/>
    <m/>
    <s v="N/A-StillEmployed"/>
    <s v="Active"/>
    <s v="Production"/>
    <s v="David Stanley"/>
    <x v="10"/>
    <x v="5"/>
  </r>
  <r>
    <s v="Gordon, David"/>
    <n v="10051"/>
    <n v="1"/>
    <n v="48285"/>
    <s v="Production Technician I"/>
    <d v="1979-05-21T00:00:00"/>
    <s v="M "/>
    <s v="US Citizen"/>
    <d v="2012-07-02T00:00:00"/>
    <m/>
    <s v="N/A-StillEmployed"/>
    <s v="Active"/>
    <s v="Production"/>
    <s v="David Stanley"/>
    <x v="5"/>
    <x v="4"/>
  </r>
  <r>
    <s v="Gosciminski, Phylicia"/>
    <n v="10218"/>
    <n v="0"/>
    <n v="66149"/>
    <s v="Production Technician II"/>
    <d v="1983-12-08T00:00:00"/>
    <s v="F"/>
    <s v="US Citizen"/>
    <d v="2013-09-30T00:00:00"/>
    <m/>
    <s v="N/A-StillEmployed"/>
    <s v="Active"/>
    <s v="Production"/>
    <s v="Kissy Sullivan"/>
    <x v="0"/>
    <x v="6"/>
  </r>
  <r>
    <s v="Goyal, Roxana"/>
    <n v="10256"/>
    <n v="0"/>
    <n v="49256"/>
    <s v="Production Technician I"/>
    <d v="1974-10-09T00:00:00"/>
    <s v="F"/>
    <s v="US Citizen"/>
    <d v="2013-08-19T00:00:00"/>
    <m/>
    <s v="N/A-StillEmployed"/>
    <s v="Active"/>
    <s v="Production"/>
    <s v="Kissy Sullivan"/>
    <x v="7"/>
    <x v="6"/>
  </r>
  <r>
    <s v="Gray, Elijiah"/>
    <n v="10098"/>
    <n v="1"/>
    <n v="62957"/>
    <s v="Production Manager"/>
    <d v="1981-07-11T00:00:00"/>
    <s v="M "/>
    <s v="US Citizen"/>
    <d v="2015-06-02T00:00:00"/>
    <m/>
    <s v="N/A-StillEmployed"/>
    <s v="Active"/>
    <s v="Production"/>
    <s v="Janet King"/>
    <x v="8"/>
    <x v="8"/>
  </r>
  <r>
    <s v="Gross, Paula"/>
    <n v="10059"/>
    <n v="0"/>
    <n v="63813"/>
    <s v="Production Technician I"/>
    <d v="1983-05-21T00:00:00"/>
    <s v="F"/>
    <s v="US Citizen"/>
    <d v="2011-02-21T00:00:00"/>
    <d v="2014-01-11T00:00:00"/>
    <s v="more money"/>
    <s v="Voluntarily Terminated"/>
    <s v="Production"/>
    <s v="Kelley Spirea"/>
    <x v="0"/>
    <x v="13"/>
  </r>
  <r>
    <s v="Gruber, Hans"/>
    <n v="10234"/>
    <n v="1"/>
    <n v="99020"/>
    <s v="BI Developer"/>
    <d v="1989-06-30T00:00:00"/>
    <s v="M "/>
    <s v="US Citizen"/>
    <d v="2017-04-20T00:00:00"/>
    <m/>
    <s v="N/A-StillEmployed"/>
    <s v="Active"/>
    <s v="IT/IS"/>
    <s v="Brian Champaigne"/>
    <x v="3"/>
    <x v="17"/>
  </r>
  <r>
    <s v="Guilianno, Mike"/>
    <n v="10109"/>
    <n v="1"/>
    <n v="71707"/>
    <s v="Area Sales Manager"/>
    <d v="1969-02-09T00:00:00"/>
    <s v="M "/>
    <s v="US Citizen"/>
    <d v="2012-03-07T00:00:00"/>
    <d v="2014-10-31T00:00:00"/>
    <s v="relocation out of area"/>
    <s v="Voluntarily Terminated"/>
    <s v="Sales"/>
    <s v="John Smith"/>
    <x v="17"/>
    <x v="13"/>
  </r>
  <r>
    <s v="Handschiegl, Joanne"/>
    <n v="10125"/>
    <n v="0"/>
    <n v="54828"/>
    <s v="Production Technician I"/>
    <d v="1977-03-23T00:00:00"/>
    <s v="F"/>
    <s v="US Citizen"/>
    <d v="2011-11-28T00:00:00"/>
    <m/>
    <s v="N/A-StillEmployed"/>
    <s v="Active"/>
    <s v="Production"/>
    <s v="Michael Albert"/>
    <x v="4"/>
    <x v="0"/>
  </r>
  <r>
    <s v="Hankard, Earnest"/>
    <n v="10074"/>
    <n v="1"/>
    <n v="64246"/>
    <s v="Production Technician II"/>
    <d v="1988-08-10T00:00:00"/>
    <s v="M "/>
    <s v="US Citizen"/>
    <d v="2013-11-11T00:00:00"/>
    <m/>
    <s v="N/A-StillEmployed"/>
    <s v="Active"/>
    <s v="Production"/>
    <s v="Kelley Spirea"/>
    <x v="2"/>
    <x v="6"/>
  </r>
  <r>
    <s v="Harrington, Christie"/>
    <n v="10097"/>
    <n v="0"/>
    <n v="52177"/>
    <s v="Production Technician I"/>
    <d v="1952-08-18T00:00:00"/>
    <s v="F"/>
    <s v="US Citizen"/>
    <d v="2012-01-09T00:00:00"/>
    <d v="2015-12-15T00:00:00"/>
    <s v="retiring"/>
    <s v="Voluntarily Terminated"/>
    <s v="Production"/>
    <s v="Webster Butler"/>
    <x v="26"/>
    <x v="12"/>
  </r>
  <r>
    <s v="Harrison, Kara"/>
    <n v="10007"/>
    <n v="0"/>
    <n v="62065"/>
    <s v="Production Technician I"/>
    <d v="1974-05-02T00:00:00"/>
    <s v="F"/>
    <s v="US Citizen"/>
    <d v="2014-05-12T00:00:00"/>
    <m/>
    <s v="N/A-StillEmployed"/>
    <s v="Active"/>
    <s v="Production"/>
    <s v="Amy Dunn"/>
    <x v="7"/>
    <x v="5"/>
  </r>
  <r>
    <s v="Heitzman, Anthony"/>
    <n v="10129"/>
    <n v="1"/>
    <n v="46998"/>
    <s v="Production Technician I"/>
    <d v="1984-01-04T00:00:00"/>
    <s v="M "/>
    <s v="US Citizen"/>
    <d v="2012-08-13T00:00:00"/>
    <m/>
    <s v="N/A-StillEmployed"/>
    <s v="Active"/>
    <s v="Production"/>
    <s v="Ketsia Liebig"/>
    <x v="33"/>
    <x v="4"/>
  </r>
  <r>
    <s v="Hendrickson, Trina"/>
    <n v="10075"/>
    <n v="0"/>
    <n v="68099"/>
    <s v="Production Technician II"/>
    <d v="1972-08-27T00:00:00"/>
    <s v="F"/>
    <s v="US Citizen"/>
    <d v="2011-01-10T00:00:00"/>
    <d v="2013-06-18T00:00:00"/>
    <s v="hours"/>
    <s v="Voluntarily Terminated"/>
    <s v="Production"/>
    <s v="Kelley Spirea"/>
    <x v="21"/>
    <x v="13"/>
  </r>
  <r>
    <s v="Hitchcock, Alfred"/>
    <n v="10167"/>
    <n v="1"/>
    <n v="70545"/>
    <s v="Area Sales Manager"/>
    <d v="1988-09-14T00:00:00"/>
    <s v="M "/>
    <s v="US Citizen"/>
    <d v="2014-08-18T00:00:00"/>
    <m/>
    <s v="N/A-StillEmployed"/>
    <s v="Active"/>
    <s v="Sales"/>
    <s v="John Smith"/>
    <x v="2"/>
    <x v="5"/>
  </r>
  <r>
    <s v="Homberger, Adrienne  J"/>
    <n v="10195"/>
    <n v="0"/>
    <n v="63478"/>
    <s v="Production Technician II"/>
    <d v="1984-02-16T00:00:00"/>
    <s v="F"/>
    <s v="Non-Citizen"/>
    <d v="2011-08-15T00:00:00"/>
    <d v="2012-04-07T00:00:00"/>
    <s v="relocation out of area"/>
    <s v="Voluntarily Terminated"/>
    <s v="Production"/>
    <s v="Michael Albert"/>
    <x v="33"/>
    <x v="14"/>
  </r>
  <r>
    <s v="Horton, Jayne"/>
    <n v="10112"/>
    <n v="0"/>
    <n v="97999"/>
    <s v="Database Administrator"/>
    <d v="1984-02-21T00:00:00"/>
    <s v="F"/>
    <s v="US Citizen"/>
    <d v="2015-03-30T00:00:00"/>
    <m/>
    <s v="N/A-StillEmployed"/>
    <s v="Active"/>
    <s v="IT/IS"/>
    <s v="Simon Roup"/>
    <x v="33"/>
    <x v="8"/>
  </r>
  <r>
    <s v="Houlihan, Debra"/>
    <n v="10272"/>
    <n v="0"/>
    <n v="180000"/>
    <s v="Director of Sales"/>
    <d v="1966-03-17T00:00:00"/>
    <s v="F"/>
    <s v="US Citizen"/>
    <d v="2014-05-05T00:00:00"/>
    <m/>
    <s v="N/A-StillEmployed"/>
    <s v="Active"/>
    <s v="Sales"/>
    <s v="Janet King"/>
    <x v="9"/>
    <x v="5"/>
  </r>
  <r>
    <s v="Howard, Estelle"/>
    <n v="10182"/>
    <n v="0"/>
    <n v="49920"/>
    <s v="Administrative Assistant"/>
    <d v="1985-09-16T00:00:00"/>
    <s v="F"/>
    <s v="US Citizen"/>
    <d v="2015-02-16T00:00:00"/>
    <d v="2015-04-15T00:00:00"/>
    <s v="no-call, no-show"/>
    <s v="Terminated for Cause"/>
    <s v="Admin Offices"/>
    <s v="Brandon R. LeBlanc"/>
    <x v="22"/>
    <x v="14"/>
  </r>
  <r>
    <s v="Hudson, Jane"/>
    <n v="10248"/>
    <n v="0"/>
    <n v="55425"/>
    <s v="Production Technician I"/>
    <d v="1986-06-10T00:00:00"/>
    <s v="F"/>
    <s v="US Citizen"/>
    <d v="2012-02-20T00:00:00"/>
    <m/>
    <s v="N/A-StillEmployed"/>
    <s v="Active"/>
    <s v="Production"/>
    <s v="Ketsia Liebig"/>
    <x v="10"/>
    <x v="4"/>
  </r>
  <r>
    <s v="Hunts, Julissa"/>
    <n v="10201"/>
    <n v="0"/>
    <n v="69340"/>
    <s v="Production Technician II"/>
    <d v="1984-03-11T00:00:00"/>
    <s v="F"/>
    <s v="US Citizen"/>
    <d v="2016-06-06T00:00:00"/>
    <m/>
    <s v="N/A-StillEmployed"/>
    <s v="Active"/>
    <s v="Production"/>
    <s v="Elijiah Gray"/>
    <x v="33"/>
    <x v="11"/>
  </r>
  <r>
    <s v="Hutter, Rosalie"/>
    <n v="10214"/>
    <n v="0"/>
    <n v="64995"/>
    <s v="Production Technician II"/>
    <d v="1992-05-07T00:00:00"/>
    <s v="F"/>
    <s v="US Citizen"/>
    <d v="2015-06-05T00:00:00"/>
    <m/>
    <s v="N/A-StillEmployed"/>
    <s v="Active"/>
    <s v="Production"/>
    <s v="Webster Butler"/>
    <x v="32"/>
    <x v="8"/>
  </r>
  <r>
    <s v="Huynh, Ming"/>
    <n v="10160"/>
    <n v="0"/>
    <n v="68182"/>
    <s v="Production Technician II"/>
    <d v="1976-09-22T00:00:00"/>
    <s v="F"/>
    <s v="US Citizen"/>
    <d v="2011-02-21T00:00:00"/>
    <d v="2013-04-01T00:00:00"/>
    <s v="unhappy"/>
    <s v="Voluntarily Terminated"/>
    <s v="Production"/>
    <s v="Amy Dunn"/>
    <x v="24"/>
    <x v="13"/>
  </r>
  <r>
    <s v="Immediato, Walter"/>
    <n v="10289"/>
    <n v="1"/>
    <n v="83082"/>
    <s v="Production Manager"/>
    <d v="1976-11-15T00:00:00"/>
    <s v="M "/>
    <s v="US Citizen"/>
    <d v="2011-02-21T00:00:00"/>
    <d v="2012-09-24T00:00:00"/>
    <s v="unhappy"/>
    <s v="Voluntarily Terminated"/>
    <s v="Production"/>
    <s v="Janet King"/>
    <x v="24"/>
    <x v="1"/>
  </r>
  <r>
    <s v="Ivey, Rose"/>
    <n v="10139"/>
    <n v="0"/>
    <n v="51908"/>
    <s v="Production Technician I"/>
    <d v="1991-01-28T00:00:00"/>
    <s v="F"/>
    <s v="US Citizen"/>
    <d v="2013-08-19T00:00:00"/>
    <m/>
    <s v="N/A-StillEmployed"/>
    <s v="Active"/>
    <s v="Production"/>
    <s v="Brannon Miller"/>
    <x v="29"/>
    <x v="6"/>
  </r>
  <r>
    <s v="Jackson, Maryellen"/>
    <n v="10227"/>
    <n v="0"/>
    <n v="61242"/>
    <s v="Production Technician I"/>
    <d v="1972-09-11T00:00:00"/>
    <s v="F"/>
    <s v="US Citizen"/>
    <d v="2012-11-05T00:00:00"/>
    <m/>
    <s v="N/A-StillEmployed"/>
    <s v="Active"/>
    <s v="Production"/>
    <s v="David Stanley"/>
    <x v="21"/>
    <x v="4"/>
  </r>
  <r>
    <s v="Jacobi, Hannah"/>
    <n v="10236"/>
    <n v="0"/>
    <n v="45069"/>
    <s v="Production Technician I"/>
    <d v="1966-03-22T00:00:00"/>
    <s v="F"/>
    <s v="US Citizen"/>
    <d v="2013-09-30T00:00:00"/>
    <m/>
    <s v="N/A-StillEmployed"/>
    <s v="Active"/>
    <s v="Production"/>
    <s v="Kissy Sullivan"/>
    <x v="9"/>
    <x v="6"/>
  </r>
  <r>
    <s v="Jeannite, Tayana"/>
    <n v="10009"/>
    <n v="0"/>
    <n v="60724"/>
    <s v="Production Technician II"/>
    <d v="1986-11-06T00:00:00"/>
    <s v="F"/>
    <s v="US Citizen"/>
    <d v="2011-07-05T00:00:00"/>
    <m/>
    <s v="N/A-StillEmployed"/>
    <s v="Active"/>
    <s v="Production"/>
    <s v="Ketsia Liebig"/>
    <x v="10"/>
    <x v="0"/>
  </r>
  <r>
    <s v="Jhaveri, Sneha"/>
    <n v="10060"/>
    <n v="0"/>
    <n v="60436"/>
    <s v="Production Technician I"/>
    <d v="1964-04-13T00:00:00"/>
    <s v="F"/>
    <s v="US Citizen"/>
    <d v="2014-01-06T00:00:00"/>
    <m/>
    <s v="N/A-StillEmployed"/>
    <s v="Active"/>
    <s v="Production"/>
    <s v="Kelley Spirea"/>
    <x v="15"/>
    <x v="5"/>
  </r>
  <r>
    <s v="Johnson, George"/>
    <n v="10034"/>
    <n v="1"/>
    <n v="46837"/>
    <s v="Production Technician I"/>
    <d v="1959-08-19T00:00:00"/>
    <s v="M "/>
    <s v="US Citizen"/>
    <d v="2011-11-07T00:00:00"/>
    <d v="2018-04-29T00:00:00"/>
    <s v="more money"/>
    <s v="Voluntarily Terminated"/>
    <s v="Production"/>
    <s v="Michael Albert"/>
    <x v="12"/>
    <x v="9"/>
  </r>
  <r>
    <s v="Johnson, Noelle"/>
    <n v="10156"/>
    <n v="0"/>
    <n v="105700"/>
    <s v="Database Administrator"/>
    <d v="1986-11-07T00:00:00"/>
    <s v="F"/>
    <s v="US Citizen"/>
    <d v="2015-01-05T00:00:00"/>
    <m/>
    <s v="N/A-StillEmployed"/>
    <s v="Active"/>
    <s v="IT/IS"/>
    <s v="Simon Roup"/>
    <x v="10"/>
    <x v="8"/>
  </r>
  <r>
    <s v="Johnston, Yen"/>
    <n v="10036"/>
    <n v="0"/>
    <n v="63322"/>
    <s v="Production Technician II"/>
    <d v="1969-09-08T00:00:00"/>
    <s v="F"/>
    <s v="US Citizen"/>
    <d v="2014-07-07T00:00:00"/>
    <m/>
    <s v="N/A-StillEmployed"/>
    <s v="Active"/>
    <s v="Production"/>
    <s v="Brannon Miller"/>
    <x v="17"/>
    <x v="5"/>
  </r>
  <r>
    <s v="Jung, Judy"/>
    <n v="10138"/>
    <n v="0"/>
    <n v="61154"/>
    <s v="Production Technician I"/>
    <d v="1986-04-17T00:00:00"/>
    <s v="F"/>
    <s v="US Citizen"/>
    <d v="2011-01-10T00:00:00"/>
    <d v="2016-04-01T00:00:00"/>
    <s v="unhappy"/>
    <s v="Voluntarily Terminated"/>
    <s v="Production"/>
    <s v="Elijiah Gray"/>
    <x v="10"/>
    <x v="3"/>
  </r>
  <r>
    <s v="Kampew, Donysha"/>
    <n v="10244"/>
    <n v="0"/>
    <n v="68999"/>
    <s v="Sales Manager"/>
    <d v="1989-11-11T00:00:00"/>
    <s v="F"/>
    <s v="US Citizen"/>
    <d v="2011-11-07T00:00:00"/>
    <d v="2014-04-24T00:00:00"/>
    <s v="maternity leave - did not return"/>
    <s v="Voluntarily Terminated"/>
    <s v="Sales"/>
    <s v="Debra Houlihan"/>
    <x v="3"/>
    <x v="13"/>
  </r>
  <r>
    <s v="Keatts, Kramer"/>
    <n v="10192"/>
    <n v="1"/>
    <n v="50482"/>
    <s v="Production Technician I"/>
    <d v="1976-01-19T00:00:00"/>
    <s v="M "/>
    <s v="US Citizen"/>
    <d v="2013-09-30T00:00:00"/>
    <m/>
    <s v="N/A-StillEmployed"/>
    <s v="Active"/>
    <s v="Production"/>
    <s v="Michael Albert"/>
    <x v="24"/>
    <x v="6"/>
  </r>
  <r>
    <s v="Khemmich, Bartholemew"/>
    <n v="10231"/>
    <n v="1"/>
    <n v="65310"/>
    <s v="Area Sales Manager"/>
    <d v="1979-11-27T00:00:00"/>
    <s v="M "/>
    <s v="US Citizen"/>
    <d v="2013-08-19T00:00:00"/>
    <m/>
    <s v="N/A-StillEmployed"/>
    <s v="Active"/>
    <s v="Sales"/>
    <s v="Lynn Daneault"/>
    <x v="5"/>
    <x v="6"/>
  </r>
  <r>
    <s v="King, Janet"/>
    <n v="10089"/>
    <n v="0"/>
    <n v="250000"/>
    <s v="President &amp; CEO"/>
    <d v="1954-09-21T00:00:00"/>
    <s v="F"/>
    <s v="US Citizen"/>
    <d v="2012-07-02T00:00:00"/>
    <m/>
    <s v="N/A-StillEmployed"/>
    <s v="Active"/>
    <s v="Executive Office"/>
    <s v="Board of Directors"/>
    <x v="34"/>
    <x v="4"/>
  </r>
  <r>
    <s v="Kinsella, Kathleen"/>
    <n v="10166"/>
    <n v="0"/>
    <n v="54005"/>
    <s v="Production Technician I"/>
    <d v="1973-12-08T00:00:00"/>
    <s v="F"/>
    <s v="US Citizen"/>
    <d v="2011-09-26T00:00:00"/>
    <d v="2015-06-04T00:00:00"/>
    <s v="more money"/>
    <s v="Voluntarily Terminated"/>
    <s v="Production"/>
    <s v="Webster Butler"/>
    <x v="28"/>
    <x v="12"/>
  </r>
  <r>
    <s v="Kirill, Alexandra"/>
    <n v="10170"/>
    <n v="0"/>
    <n v="45433"/>
    <s v="Production Technician I"/>
    <d v="1970-10-08T00:00:00"/>
    <s v="F"/>
    <s v="US Citizen"/>
    <d v="2011-09-26T00:00:00"/>
    <d v="2014-01-09T00:00:00"/>
    <s v="more money"/>
    <s v="Voluntarily Terminated"/>
    <s v="Production"/>
    <s v="Amy Dunn"/>
    <x v="6"/>
    <x v="13"/>
  </r>
  <r>
    <s v="Knapp, Bradley  J"/>
    <n v="10208"/>
    <n v="1"/>
    <n v="46654"/>
    <s v="Production Technician I"/>
    <d v="1977-11-10T00:00:00"/>
    <s v="M "/>
    <s v="US Citizen"/>
    <d v="2014-02-17T00:00:00"/>
    <m/>
    <s v="N/A-StillEmployed"/>
    <s v="Active"/>
    <s v="Production"/>
    <s v="Ketsia Liebig"/>
    <x v="4"/>
    <x v="5"/>
  </r>
  <r>
    <s v="Kretschmer, John"/>
    <n v="10176"/>
    <n v="1"/>
    <n v="63973"/>
    <s v="Production Technician I"/>
    <d v="1980-02-02T00:00:00"/>
    <s v="M "/>
    <s v="US Citizen"/>
    <d v="2011-01-10T00:00:00"/>
    <m/>
    <s v="N/A-StillEmployed"/>
    <s v="Active"/>
    <s v="Production"/>
    <s v="Brannon Miller"/>
    <x v="18"/>
    <x v="0"/>
  </r>
  <r>
    <s v="Kreuger, Freddy"/>
    <n v="10165"/>
    <n v="1"/>
    <n v="71339"/>
    <s v="Area Sales Manager"/>
    <d v="1969-02-24T00:00:00"/>
    <s v="M "/>
    <s v="US Citizen"/>
    <d v="2011-03-07T00:00:00"/>
    <m/>
    <s v="N/A-StillEmployed"/>
    <s v="Active"/>
    <s v="Sales"/>
    <s v="John Smith"/>
    <x v="17"/>
    <x v="0"/>
  </r>
  <r>
    <s v="Lajiri,  Jyoti"/>
    <n v="10113"/>
    <n v="1"/>
    <n v="93206"/>
    <s v="Sr. Network Engineer"/>
    <d v="1986-04-23T00:00:00"/>
    <s v="M "/>
    <s v="US Citizen"/>
    <d v="2014-11-10T00:00:00"/>
    <m/>
    <s v="N/A-StillEmployed"/>
    <s v="Active"/>
    <s v="IT/IS"/>
    <s v="Peter Monroe"/>
    <x v="10"/>
    <x v="5"/>
  </r>
  <r>
    <s v="Landa, Hans"/>
    <n v="10092"/>
    <n v="1"/>
    <n v="82758"/>
    <s v="Production Manager"/>
    <d v="1972-07-01T00:00:00"/>
    <s v="M "/>
    <s v="US Citizen"/>
    <d v="2011-01-10T00:00:00"/>
    <d v="2015-12-12T00:00:00"/>
    <s v="attendance"/>
    <s v="Terminated for Cause"/>
    <s v="Production"/>
    <s v="Janet King"/>
    <x v="21"/>
    <x v="10"/>
  </r>
  <r>
    <s v="Langford, Lindsey"/>
    <n v="10106"/>
    <n v="0"/>
    <n v="66074"/>
    <s v="Production Technician II"/>
    <d v="1979-07-25T00:00:00"/>
    <s v="F"/>
    <s v="US Citizen"/>
    <d v="2013-01-07T00:00:00"/>
    <d v="2014-03-31T00:00:00"/>
    <s v="Another position"/>
    <s v="Voluntarily Terminated"/>
    <s v="Production"/>
    <s v="David Stanley"/>
    <x v="5"/>
    <x v="1"/>
  </r>
  <r>
    <s v="Langton, Enrico"/>
    <n v="10052"/>
    <n v="1"/>
    <n v="46120"/>
    <s v="Production Technician I"/>
    <d v="1986-12-09T00:00:00"/>
    <s v="M "/>
    <s v="US Citizen"/>
    <d v="2012-07-09T00:00:00"/>
    <m/>
    <s v="N/A-StillEmployed"/>
    <s v="Active"/>
    <s v="Production"/>
    <s v="David Stanley"/>
    <x v="10"/>
    <x v="4"/>
  </r>
  <r>
    <s v="LaRotonda, William"/>
    <n v="10038"/>
    <n v="1"/>
    <n v="64520"/>
    <s v="Accountant I"/>
    <d v="1984-04-26T00:00:00"/>
    <s v="M "/>
    <s v="US Citizen"/>
    <d v="2014-01-06T00:00:00"/>
    <m/>
    <s v="N/A-StillEmployed"/>
    <s v="Active"/>
    <s v="Admin Offices"/>
    <s v="Brandon R. LeBlanc"/>
    <x v="33"/>
    <x v="5"/>
  </r>
  <r>
    <s v="Latif, Mohammed"/>
    <n v="10249"/>
    <n v="1"/>
    <n v="61962"/>
    <s v="Production Technician II"/>
    <d v="1984-05-09T00:00:00"/>
    <s v="M "/>
    <s v="US Citizen"/>
    <d v="2012-04-02T00:00:00"/>
    <d v="2013-04-15T00:00:00"/>
    <s v="more money"/>
    <s v="Voluntarily Terminated"/>
    <s v="Production"/>
    <s v="Kissy Sullivan"/>
    <x v="33"/>
    <x v="1"/>
  </r>
  <r>
    <s v="Le, Binh"/>
    <n v="10232"/>
    <n v="0"/>
    <n v="81584"/>
    <s v="Senior BI Developer"/>
    <d v="1987-06-14T00:00:00"/>
    <s v="F"/>
    <s v="US Citizen"/>
    <d v="2016-10-02T00:00:00"/>
    <m/>
    <s v="N/A-StillEmployed"/>
    <s v="Active"/>
    <s v="IT/IS"/>
    <s v="Brian Champaigne"/>
    <x v="16"/>
    <x v="11"/>
  </r>
  <r>
    <s v="Leach, Dallas"/>
    <n v="10087"/>
    <n v="0"/>
    <n v="63676"/>
    <s v="Production Technician I"/>
    <d v="1979-01-17T00:00:00"/>
    <s v="F"/>
    <s v="US Citizen"/>
    <d v="2011-09-26T00:00:00"/>
    <d v="2018-08-19T00:00:00"/>
    <s v="return to school"/>
    <s v="Voluntarily Terminated"/>
    <s v="Production"/>
    <s v="Kissy Sullivan"/>
    <x v="5"/>
    <x v="9"/>
  </r>
  <r>
    <s v="LeBlanc, Brandon  R"/>
    <n v="10134"/>
    <n v="1"/>
    <n v="93046"/>
    <s v="Shared Services Manager"/>
    <d v="1984-06-10T00:00:00"/>
    <s v="M "/>
    <s v="US Citizen"/>
    <d v="2016-01-05T00:00:00"/>
    <m/>
    <s v="N/A-StillEmployed"/>
    <s v="Active"/>
    <s v="Admin Offices"/>
    <s v="Janet King"/>
    <x v="33"/>
    <x v="11"/>
  </r>
  <r>
    <s v="Lecter, Hannibal"/>
    <n v="10251"/>
    <n v="1"/>
    <n v="64738"/>
    <s v="Production Technician I"/>
    <d v="1982-09-02T00:00:00"/>
    <s v="M "/>
    <s v="US Citizen"/>
    <d v="2012-05-14T00:00:00"/>
    <m/>
    <s v="N/A-StillEmployed"/>
    <s v="Active"/>
    <s v="Production"/>
    <s v="Elijiah Gray"/>
    <x v="27"/>
    <x v="4"/>
  </r>
  <r>
    <s v="Leruth, Giovanni"/>
    <n v="10103"/>
    <n v="1"/>
    <n v="70468"/>
    <s v="Area Sales Manager"/>
    <d v="1988-12-27T00:00:00"/>
    <s v="M "/>
    <s v="US Citizen"/>
    <d v="2012-04-30T00:00:00"/>
    <m/>
    <s v="N/A-StillEmployed"/>
    <s v="Active"/>
    <s v="Sales"/>
    <s v="John Smith"/>
    <x v="3"/>
    <x v="4"/>
  </r>
  <r>
    <s v="Liebig, Ketsia"/>
    <n v="10017"/>
    <n v="0"/>
    <n v="77915"/>
    <s v="Production Manager"/>
    <d v="1981-10-26T00:00:00"/>
    <s v="F"/>
    <s v="US Citizen"/>
    <d v="2013-09-30T00:00:00"/>
    <m/>
    <s v="N/A-StillEmployed"/>
    <s v="Active"/>
    <s v="Production"/>
    <s v="Janet King"/>
    <x v="8"/>
    <x v="6"/>
  </r>
  <r>
    <s v="Linares, Marilyn"/>
    <n v="10186"/>
    <n v="0"/>
    <n v="52624"/>
    <s v="Production Technician I"/>
    <d v="1981-03-26T00:00:00"/>
    <s v="F"/>
    <s v="US Citizen"/>
    <d v="2011-07-05T00:00:00"/>
    <d v="2018-09-26T00:00:00"/>
    <s v="unhappy"/>
    <s v="Voluntarily Terminated"/>
    <s v="Production"/>
    <s v="Michael Albert"/>
    <x v="8"/>
    <x v="16"/>
  </r>
  <r>
    <s v="Linden, Mathew"/>
    <n v="10137"/>
    <n v="1"/>
    <n v="63450"/>
    <s v="Production Technician II"/>
    <d v="1979-03-19T00:00:00"/>
    <s v="M "/>
    <s v="US Citizen"/>
    <d v="2013-07-08T00:00:00"/>
    <m/>
    <s v="N/A-StillEmployed"/>
    <s v="Active"/>
    <s v="Production"/>
    <s v="Kelley Spirea"/>
    <x v="5"/>
    <x v="6"/>
  </r>
  <r>
    <s v="Lindsay, Leonara"/>
    <n v="10008"/>
    <n v="0"/>
    <n v="51777"/>
    <s v="IT Support"/>
    <d v="1988-10-05T00:00:00"/>
    <s v="F"/>
    <s v="US Citizen"/>
    <d v="2011-01-21T00:00:00"/>
    <m/>
    <s v="N/A-StillEmployed"/>
    <s v="Active"/>
    <s v="IT/IS"/>
    <s v="Eric Dougall"/>
    <x v="2"/>
    <x v="0"/>
  </r>
  <r>
    <s v="Lundy, Susan"/>
    <n v="10096"/>
    <n v="0"/>
    <n v="67237"/>
    <s v="Production Technician II"/>
    <d v="1976-12-26T00:00:00"/>
    <s v="F"/>
    <s v="US Citizen"/>
    <d v="2013-07-08T00:00:00"/>
    <d v="2016-09-15T00:00:00"/>
    <s v="more money"/>
    <s v="Voluntarily Terminated"/>
    <s v="Production"/>
    <s v="Michael Albert"/>
    <x v="4"/>
    <x v="12"/>
  </r>
  <r>
    <s v="Lunquist, Lisa"/>
    <n v="10035"/>
    <n v="0"/>
    <n v="73330"/>
    <s v="Production Technician II"/>
    <d v="1982-03-28T00:00:00"/>
    <s v="F"/>
    <s v="US Citizen"/>
    <d v="2013-08-19T00:00:00"/>
    <m/>
    <s v="N/A-StillEmployed"/>
    <s v="Active"/>
    <s v="Production"/>
    <s v="Elijiah Gray"/>
    <x v="27"/>
    <x v="6"/>
  </r>
  <r>
    <s v="Lydon, Allison"/>
    <n v="10057"/>
    <n v="0"/>
    <n v="52057"/>
    <s v="Production Technician I"/>
    <d v="1975-10-22T00:00:00"/>
    <s v="F"/>
    <s v="US Citizen"/>
    <d v="2015-02-16T00:00:00"/>
    <m/>
    <s v="N/A-StillEmployed"/>
    <s v="Active"/>
    <s v="Production"/>
    <s v="Elijiah Gray"/>
    <x v="1"/>
    <x v="8"/>
  </r>
  <r>
    <s v="Lynch, Lindsay"/>
    <n v="10004"/>
    <n v="0"/>
    <n v="47434"/>
    <s v="Production Technician I"/>
    <d v="1973-02-14T00:00:00"/>
    <s v="F"/>
    <s v="US Citizen"/>
    <d v="2011-11-07T00:00:00"/>
    <d v="2015-11-14T00:00:00"/>
    <s v="Another position"/>
    <s v="Voluntarily Terminated"/>
    <s v="Production"/>
    <s v="Webster Butler"/>
    <x v="28"/>
    <x v="10"/>
  </r>
  <r>
    <s v="MacLennan, Samuel"/>
    <n v="10191"/>
    <n v="1"/>
    <n v="52788"/>
    <s v="Production Technician I"/>
    <d v="1972-11-09T00:00:00"/>
    <s v="M "/>
    <s v="US Citizen"/>
    <d v="2012-09-24T00:00:00"/>
    <d v="2017-09-26T00:00:00"/>
    <s v="hours"/>
    <s v="Voluntarily Terminated"/>
    <s v="Production"/>
    <s v="Amy Dunn"/>
    <x v="21"/>
    <x v="3"/>
  </r>
  <r>
    <s v="Mahoney, Lauren"/>
    <n v="10219"/>
    <n v="0"/>
    <n v="45395"/>
    <s v="Production Technician I"/>
    <d v="1986-07-07T00:00:00"/>
    <s v="F"/>
    <s v="US Citizen"/>
    <d v="2014-01-06T00:00:00"/>
    <m/>
    <s v="N/A-StillEmployed"/>
    <s v="Active"/>
    <s v="Production"/>
    <s v="Ketsia Liebig"/>
    <x v="10"/>
    <x v="5"/>
  </r>
  <r>
    <s v="Manchester, Robyn"/>
    <n v="10077"/>
    <n v="0"/>
    <n v="62385"/>
    <s v="Production Technician II"/>
    <d v="1976-08-25T00:00:00"/>
    <s v="F"/>
    <s v="US Citizen"/>
    <d v="2016-05-11T00:00:00"/>
    <m/>
    <s v="N/A-StillEmployed"/>
    <s v="Active"/>
    <s v="Production"/>
    <s v="Webster Butler"/>
    <x v="24"/>
    <x v="11"/>
  </r>
  <r>
    <s v="Mancuso, Karen"/>
    <n v="10073"/>
    <n v="0"/>
    <n v="68407"/>
    <s v="Production Technician II"/>
    <d v="1986-12-10T00:00:00"/>
    <s v="F"/>
    <s v="US Citizen"/>
    <d v="2011-07-05T00:00:00"/>
    <d v="2012-08-19T00:00:00"/>
    <s v="Another position"/>
    <s v="Voluntarily Terminated"/>
    <s v="Production"/>
    <s v="Amy Dunn"/>
    <x v="10"/>
    <x v="1"/>
  </r>
  <r>
    <s v="Mangal, Debbie"/>
    <n v="10279"/>
    <n v="0"/>
    <n v="61349"/>
    <s v="Production Technician I"/>
    <d v="1974-11-07T00:00:00"/>
    <s v="F"/>
    <s v="US Citizen"/>
    <d v="2013-11-11T00:00:00"/>
    <m/>
    <s v="N/A-StillEmployed"/>
    <s v="Active"/>
    <s v="Production"/>
    <s v="Brannon Miller"/>
    <x v="7"/>
    <x v="6"/>
  </r>
  <r>
    <s v="Martin, Sandra"/>
    <n v="10110"/>
    <n v="0"/>
    <n v="105688"/>
    <s v="Software Engineer"/>
    <d v="1987-11-07T00:00:00"/>
    <s v="F"/>
    <s v="US Citizen"/>
    <d v="2013-11-11T00:00:00"/>
    <m/>
    <s v="N/A-StillEmployed"/>
    <s v="Active"/>
    <s v="Software Engineering"/>
    <s v="Alex Sweetwater"/>
    <x v="16"/>
    <x v="6"/>
  </r>
  <r>
    <s v="Maurice, Shana"/>
    <n v="10053"/>
    <n v="0"/>
    <n v="54132"/>
    <s v="Production Technician I"/>
    <d v="1977-11-22T00:00:00"/>
    <s v="F"/>
    <s v="US Citizen"/>
    <d v="2011-05-31T00:00:00"/>
    <m/>
    <s v="N/A-StillEmployed"/>
    <s v="Active"/>
    <s v="Production"/>
    <s v="David Stanley"/>
    <x v="4"/>
    <x v="0"/>
  </r>
  <r>
    <s v="Carthy, B'rigit"/>
    <n v="10076"/>
    <n v="0"/>
    <n v="55315"/>
    <s v="Production Technician II"/>
    <d v="1987-05-21T00:00:00"/>
    <s v="F"/>
    <s v="US Citizen"/>
    <d v="2015-03-30T00:00:00"/>
    <m/>
    <s v="N/A-StillEmployed"/>
    <s v="Active"/>
    <s v="Production"/>
    <s v="Ketsia Liebig"/>
    <x v="16"/>
    <x v="8"/>
  </r>
  <r>
    <s v="Mckenna, Sandy"/>
    <n v="10145"/>
    <n v="0"/>
    <n v="62810"/>
    <s v="Production Technician I"/>
    <d v="1987-01-07T00:00:00"/>
    <s v="F"/>
    <s v="US Citizen"/>
    <d v="2013-01-07T00:00:00"/>
    <m/>
    <s v="N/A-StillEmployed"/>
    <s v="Active"/>
    <s v="Production"/>
    <s v="Kissy Sullivan"/>
    <x v="16"/>
    <x v="6"/>
  </r>
  <r>
    <s v="McKinzie, Jac"/>
    <n v="10202"/>
    <n v="1"/>
    <n v="63291"/>
    <s v="Area Sales Manager"/>
    <d v="1984-07-01T00:00:00"/>
    <s v="M "/>
    <s v="US Citizen"/>
    <d v="2016-07-06T00:00:00"/>
    <m/>
    <s v="N/A-StillEmployed"/>
    <s v="Active"/>
    <s v="Sales"/>
    <s v="Lynn Daneault"/>
    <x v="33"/>
    <x v="11"/>
  </r>
  <r>
    <s v="Meads, Elizabeth"/>
    <n v="10128"/>
    <n v="0"/>
    <n v="62659"/>
    <s v="Production Technician I"/>
    <d v="1968-05-30T00:00:00"/>
    <s v="F"/>
    <s v="US Citizen"/>
    <d v="2012-04-02T00:00:00"/>
    <d v="2016-11-11T00:00:00"/>
    <s v="Another position"/>
    <s v="Voluntarily Terminated"/>
    <s v="Production"/>
    <s v="Kelley Spirea"/>
    <x v="31"/>
    <x v="10"/>
  </r>
  <r>
    <s v="Medeiros, Jennifer"/>
    <n v="10068"/>
    <n v="0"/>
    <n v="55688"/>
    <s v="Production Technician I"/>
    <d v="1976-09-22T00:00:00"/>
    <s v="F"/>
    <s v="US Citizen"/>
    <d v="2015-03-30T00:00:00"/>
    <m/>
    <s v="N/A-StillEmployed"/>
    <s v="Active"/>
    <s v="Production"/>
    <s v="Michael Albert"/>
    <x v="24"/>
    <x v="8"/>
  </r>
  <r>
    <s v="Miller, Brannon"/>
    <n v="10116"/>
    <n v="1"/>
    <n v="83667"/>
    <s v="Production Manager"/>
    <d v="1981-08-10T00:00:00"/>
    <s v="M "/>
    <s v="US Citizen"/>
    <d v="2012-08-16T00:00:00"/>
    <m/>
    <s v="N/A-StillEmployed"/>
    <s v="Active"/>
    <s v="Production"/>
    <s v="Janet King"/>
    <x v="8"/>
    <x v="4"/>
  </r>
  <r>
    <s v="Miller, Ned"/>
    <n v="10298"/>
    <n v="1"/>
    <n v="55800"/>
    <s v="Production Technician II"/>
    <d v="1985-06-29T00:00:00"/>
    <s v="M "/>
    <s v="US Citizen"/>
    <d v="2011-08-15T00:00:00"/>
    <d v="2014-09-04T00:00:00"/>
    <s v="unhappy"/>
    <s v="Voluntarily Terminated"/>
    <s v="Production"/>
    <s v="Brannon Miller"/>
    <x v="22"/>
    <x v="12"/>
  </r>
  <r>
    <s v="Monkfish, Erasumus"/>
    <n v="10213"/>
    <n v="1"/>
    <n v="58207"/>
    <s v="Production Technician II"/>
    <d v="1992-08-17T00:00:00"/>
    <s v="M "/>
    <s v="US Citizen"/>
    <d v="2011-11-07T00:00:00"/>
    <m/>
    <s v="N/A-StillEmployed"/>
    <s v="Active"/>
    <s v="Production"/>
    <s v="David Stanley"/>
    <x v="32"/>
    <x v="0"/>
  </r>
  <r>
    <s v="Monroe, Peter"/>
    <n v="10288"/>
    <n v="1"/>
    <n v="157000"/>
    <s v="IT Manager - Infra"/>
    <d v="1986-10-05T00:00:00"/>
    <s v="M "/>
    <s v="Eligible NonCitizen"/>
    <d v="2012-02-15T00:00:00"/>
    <m/>
    <s v="N/A-StillEmployed"/>
    <s v="Active"/>
    <s v="IT/IS"/>
    <s v="Jennifer Zamora"/>
    <x v="10"/>
    <x v="4"/>
  </r>
  <r>
    <s v="Monterro, Luisa"/>
    <n v="10025"/>
    <n v="0"/>
    <n v="72460"/>
    <s v="Production Technician II"/>
    <d v="1970-04-24T00:00:00"/>
    <s v="F"/>
    <s v="US Citizen"/>
    <d v="2013-05-13T00:00:00"/>
    <m/>
    <s v="N/A-StillEmployed"/>
    <s v="Active"/>
    <s v="Production"/>
    <s v="Kissy Sullivan"/>
    <x v="6"/>
    <x v="6"/>
  </r>
  <r>
    <s v="Moran, Patrick"/>
    <n v="10223"/>
    <n v="1"/>
    <n v="72106"/>
    <s v="Production Technician II"/>
    <d v="1976-12-03T00:00:00"/>
    <s v="M "/>
    <s v="US Citizen"/>
    <d v="2012-01-09T00:00:00"/>
    <m/>
    <s v="N/A-StillEmployed"/>
    <s v="Active"/>
    <s v="Production"/>
    <s v="Kelley Spirea"/>
    <x v="24"/>
    <x v="4"/>
  </r>
  <r>
    <s v="Morway, Tanya"/>
    <n v="10151"/>
    <n v="0"/>
    <n v="52599"/>
    <s v="Network Engineer"/>
    <d v="1979-04-04T00:00:00"/>
    <s v="F"/>
    <s v="US Citizen"/>
    <d v="2015-02-16T00:00:00"/>
    <m/>
    <s v="N/A-StillEmployed"/>
    <s v="Active"/>
    <s v="IT/IS"/>
    <s v="Peter Monroe"/>
    <x v="5"/>
    <x v="8"/>
  </r>
  <r>
    <s v="Motlagh,  Dawn"/>
    <n v="10254"/>
    <n v="0"/>
    <n v="63430"/>
    <s v="Production Technician I"/>
    <d v="1984-07-07T00:00:00"/>
    <s v="F"/>
    <s v="US Citizen"/>
    <d v="2013-04-01T00:00:00"/>
    <m/>
    <s v="N/A-StillEmployed"/>
    <s v="Active"/>
    <s v="Production"/>
    <s v="Elijiah Gray"/>
    <x v="33"/>
    <x v="6"/>
  </r>
  <r>
    <s v="Moumanil, Maliki"/>
    <n v="10120"/>
    <n v="1"/>
    <n v="74417"/>
    <s v="Production Technician II"/>
    <d v="1974-12-01T00:00:00"/>
    <s v="M "/>
    <s v="US Citizen"/>
    <d v="2013-05-13T00:00:00"/>
    <m/>
    <s v="N/A-StillEmployed"/>
    <s v="Active"/>
    <s v="Production"/>
    <s v="Michael Albert"/>
    <x v="7"/>
    <x v="6"/>
  </r>
  <r>
    <s v="Myers, Michael"/>
    <n v="10216"/>
    <n v="1"/>
    <n v="57575"/>
    <s v="Production Technician I"/>
    <d v="1980-04-18T00:00:00"/>
    <s v="M "/>
    <s v="US Citizen"/>
    <d v="2013-07-08T00:00:00"/>
    <m/>
    <s v="N/A-StillEmployed"/>
    <s v="Active"/>
    <s v="Production"/>
    <s v="Kissy Sullivan"/>
    <x v="18"/>
    <x v="6"/>
  </r>
  <r>
    <s v="Navathe, Kurt"/>
    <n v="10079"/>
    <n v="1"/>
    <n v="87921"/>
    <s v="Senior BI Developer"/>
    <d v="1970-04-25T00:00:00"/>
    <s v="M "/>
    <s v="US Citizen"/>
    <d v="2017-02-10T00:00:00"/>
    <m/>
    <s v="N/A-StillEmployed"/>
    <s v="Active"/>
    <s v="IT/IS"/>
    <s v="Brian Champaigne"/>
    <x v="6"/>
    <x v="17"/>
  </r>
  <r>
    <s v="Ndzi, Colombui"/>
    <n v="10215"/>
    <n v="1"/>
    <n v="50470"/>
    <s v="Production Technician I"/>
    <d v="1989-05-02T00:00:00"/>
    <s v="M "/>
    <s v="US Citizen"/>
    <d v="2011-09-26T00:00:00"/>
    <d v="2014-04-04T00:00:00"/>
    <s v="return to school"/>
    <s v="Voluntarily Terminated"/>
    <s v="Production"/>
    <s v="Webster Butler"/>
    <x v="3"/>
    <x v="13"/>
  </r>
  <r>
    <s v="Ndzi, Horia"/>
    <n v="10185"/>
    <n v="1"/>
    <n v="46664"/>
    <s v="Production Technician I"/>
    <d v="1983-03-28T00:00:00"/>
    <s v="M "/>
    <s v="US Citizen"/>
    <d v="2013-04-01T00:00:00"/>
    <d v="2016-05-25T00:00:00"/>
    <s v="more money"/>
    <s v="Voluntarily Terminated"/>
    <s v="Production"/>
    <s v="Amy Dunn"/>
    <x v="0"/>
    <x v="12"/>
  </r>
  <r>
    <s v="Newman, Richard"/>
    <n v="10063"/>
    <n v="1"/>
    <n v="48495"/>
    <s v="Production Technician I"/>
    <d v="1977-04-08T00:00:00"/>
    <s v="M "/>
    <s v="US Citizen"/>
    <d v="2014-05-12T00:00:00"/>
    <m/>
    <s v="N/A-StillEmployed"/>
    <s v="Active"/>
    <s v="Production"/>
    <s v="Ketsia Liebig"/>
    <x v="4"/>
    <x v="5"/>
  </r>
  <r>
    <s v="Ngodup, Shari"/>
    <n v="10037"/>
    <n v="0"/>
    <n v="52984"/>
    <s v="Production Technician I"/>
    <d v="1967-06-03T00:00:00"/>
    <s v="F"/>
    <s v="US Citizen"/>
    <d v="2013-04-01T00:00:00"/>
    <m/>
    <s v="N/A-StillEmployed"/>
    <s v="Active"/>
    <s v="Production"/>
    <s v="Brannon Miller"/>
    <x v="14"/>
    <x v="6"/>
  </r>
  <r>
    <s v="Nguyen, Dheepa"/>
    <n v="10042"/>
    <n v="0"/>
    <n v="63695"/>
    <s v="Area Sales Manager"/>
    <d v="1989-03-31T00:00:00"/>
    <s v="F"/>
    <s v="US Citizen"/>
    <d v="2013-07-08T00:00:00"/>
    <m/>
    <s v="N/A-StillEmployed"/>
    <s v="Active"/>
    <s v="Sales"/>
    <s v="Lynn Daneault"/>
    <x v="3"/>
    <x v="6"/>
  </r>
  <r>
    <s v="Nguyen, Lei-Ming"/>
    <n v="10206"/>
    <n v="0"/>
    <n v="62061"/>
    <s v="Production Technician I"/>
    <d v="1984-07-07T00:00:00"/>
    <s v="F"/>
    <s v="US Citizen"/>
    <d v="2013-07-08T00:00:00"/>
    <m/>
    <s v="N/A-StillEmployed"/>
    <s v="Active"/>
    <s v="Production"/>
    <s v="David Stanley"/>
    <x v="33"/>
    <x v="6"/>
  </r>
  <r>
    <s v="Nowlan, Kristie"/>
    <n v="10104"/>
    <n v="0"/>
    <n v="66738"/>
    <s v="Production Technician II"/>
    <d v="1985-11-23T00:00:00"/>
    <s v="F"/>
    <s v="US Citizen"/>
    <d v="2014-11-10T00:00:00"/>
    <m/>
    <s v="N/A-StillEmployed"/>
    <s v="Active"/>
    <s v="Production"/>
    <s v="Elijiah Gray"/>
    <x v="22"/>
    <x v="5"/>
  </r>
  <r>
    <s v="O'hare, Lynn"/>
    <n v="10303"/>
    <n v="0"/>
    <n v="52674"/>
    <s v="Production Technician I"/>
    <d v="1980-09-30T00:00:00"/>
    <s v="F"/>
    <s v="US Citizen"/>
    <d v="2014-03-31T00:00:00"/>
    <d v="2018-05-01T00:00:00"/>
    <s v="performance"/>
    <s v="Terminated for Cause"/>
    <s v="Production"/>
    <s v="Kissy Sullivan"/>
    <x v="18"/>
    <x v="10"/>
  </r>
  <r>
    <s v="Oliver, Brooke"/>
    <n v="10078"/>
    <n v="0"/>
    <n v="71966"/>
    <s v="Production Technician II"/>
    <d v="1952-02-11T00:00:00"/>
    <s v="F"/>
    <s v="US Citizen"/>
    <d v="2012-05-14T00:00:00"/>
    <d v="2013-08-19T00:00:00"/>
    <s v="unhappy"/>
    <s v="Voluntarily Terminated"/>
    <s v="Production"/>
    <s v="Webster Butler"/>
    <x v="26"/>
    <x v="1"/>
  </r>
  <r>
    <s v="Onque, Jasmine"/>
    <n v="10121"/>
    <n v="0"/>
    <n v="63051"/>
    <s v="Area Sales Manager"/>
    <d v="1990-05-11T00:00:00"/>
    <s v="F"/>
    <s v="US Citizen"/>
    <d v="2013-09-30T00:00:00"/>
    <m/>
    <s v="N/A-StillEmployed"/>
    <s v="Active"/>
    <s v="Sales"/>
    <s v="Lynn Daneault"/>
    <x v="13"/>
    <x v="6"/>
  </r>
  <r>
    <s v="Osturnka, Adeel"/>
    <n v="10021"/>
    <n v="1"/>
    <n v="47414"/>
    <s v="Production Technician I"/>
    <d v="1976-12-11T00:00:00"/>
    <s v="M "/>
    <s v="US Citizen"/>
    <d v="2013-09-30T00:00:00"/>
    <m/>
    <s v="N/A-StillEmployed"/>
    <s v="Active"/>
    <s v="Production"/>
    <s v="Kelley Spirea"/>
    <x v="24"/>
    <x v="6"/>
  </r>
  <r>
    <s v="Owad, Clinton"/>
    <n v="10281"/>
    <n v="1"/>
    <n v="53060"/>
    <s v="Production Technician I"/>
    <d v="1979-11-24T00:00:00"/>
    <s v="M "/>
    <s v="US Citizen"/>
    <d v="2014-02-17T00:00:00"/>
    <m/>
    <s v="N/A-StillEmployed"/>
    <s v="Active"/>
    <s v="Production"/>
    <s v="Michael Albert"/>
    <x v="5"/>
    <x v="5"/>
  </r>
  <r>
    <s v="Ozark, Travis"/>
    <n v="10041"/>
    <n v="1"/>
    <n v="68829"/>
    <s v="Area Sales Manager"/>
    <d v="1982-05-19T00:00:00"/>
    <s v="M "/>
    <s v="US Citizen"/>
    <d v="2015-01-05T00:00:00"/>
    <m/>
    <s v="N/A-StillEmployed"/>
    <s v="Active"/>
    <s v="Sales"/>
    <s v="John Smith"/>
    <x v="27"/>
    <x v="8"/>
  </r>
  <r>
    <s v="Panjwani, Nina"/>
    <n v="10148"/>
    <n v="0"/>
    <n v="63515"/>
    <s v="Production Technician I"/>
    <d v="1979-05-01T00:00:00"/>
    <s v="F"/>
    <s v="US Citizen"/>
    <d v="2011-02-07T00:00:00"/>
    <d v="2014-01-12T00:00:00"/>
    <s v="Another position"/>
    <s v="Voluntarily Terminated"/>
    <s v="Production"/>
    <s v="Elijiah Gray"/>
    <x v="5"/>
    <x v="13"/>
  </r>
  <r>
    <s v="Patronick, Lucas"/>
    <n v="10005"/>
    <n v="1"/>
    <n v="108987"/>
    <s v="Software Engineer"/>
    <d v="1979-02-20T00:00:00"/>
    <s v="M "/>
    <s v="US Citizen"/>
    <d v="2011-11-07T00:00:00"/>
    <d v="2015-09-07T00:00:00"/>
    <s v="Another position"/>
    <s v="Voluntarily Terminated"/>
    <s v="Software Engineering"/>
    <s v="Alex Sweetwater"/>
    <x v="5"/>
    <x v="12"/>
  </r>
  <r>
    <s v="Pearson, Randall"/>
    <n v="10259"/>
    <n v="1"/>
    <n v="93093"/>
    <s v="Data Analyst"/>
    <d v="1984-09-05T00:00:00"/>
    <s v="M "/>
    <s v="US Citizen"/>
    <d v="2014-12-01T00:00:00"/>
    <d v="2016-05-01T00:00:00"/>
    <s v="performance"/>
    <s v="Voluntarily Terminated"/>
    <s v="IT/IS"/>
    <s v="Simon Roup"/>
    <x v="33"/>
    <x v="1"/>
  </r>
  <r>
    <s v="Smith, Martin"/>
    <n v="10286"/>
    <n v="1"/>
    <n v="53564"/>
    <s v="Production Technician I"/>
    <d v="1988-03-17T00:00:00"/>
    <s v="M "/>
    <s v="US Citizen"/>
    <d v="2011-01-10T00:00:00"/>
    <d v="2017-12-28T00:00:00"/>
    <s v="career change"/>
    <s v="Voluntarily Terminated"/>
    <s v="Production"/>
    <s v="Webster Butler"/>
    <x v="2"/>
    <x v="9"/>
  </r>
  <r>
    <s v="Pelletier, Ermine"/>
    <n v="10297"/>
    <n v="0"/>
    <n v="60270"/>
    <s v="Production Technician II"/>
    <d v="1989-07-18T00:00:00"/>
    <s v="F"/>
    <s v="US Citizen"/>
    <d v="2011-07-05T00:00:00"/>
    <d v="2015-09-15T00:00:00"/>
    <s v="unhappy"/>
    <s v="Voluntarily Terminated"/>
    <s v="Production"/>
    <s v="Amy Dunn"/>
    <x v="3"/>
    <x v="10"/>
  </r>
  <r>
    <s v="Perry, Shakira"/>
    <n v="10171"/>
    <n v="0"/>
    <n v="45998"/>
    <s v="Production Technician I"/>
    <d v="1986-07-20T00:00:00"/>
    <s v="F"/>
    <s v="US Citizen"/>
    <d v="2011-05-16T00:00:00"/>
    <d v="2015-10-25T00:00:00"/>
    <s v="medical issues"/>
    <s v="Voluntarily Terminated"/>
    <s v="Production"/>
    <s v="Amy Dunn"/>
    <x v="10"/>
    <x v="10"/>
  </r>
  <r>
    <s v="Peters, Lauren"/>
    <n v="10032"/>
    <n v="0"/>
    <n v="57954"/>
    <s v="Production Technician II"/>
    <d v="1986-08-17T00:00:00"/>
    <s v="F"/>
    <s v="US Citizen"/>
    <d v="2011-05-16T00:00:00"/>
    <d v="2013-02-04T00:00:00"/>
    <s v="more money"/>
    <s v="Voluntarily Terminated"/>
    <s v="Production"/>
    <s v="Ketsia Liebig"/>
    <x v="10"/>
    <x v="1"/>
  </r>
  <r>
    <s v="Peterson, Ebonee"/>
    <n v="10130"/>
    <n v="0"/>
    <n v="74669"/>
    <s v="Production Manager"/>
    <d v="1977-05-09T00:00:00"/>
    <s v="F"/>
    <s v="US Citizen"/>
    <d v="2010-10-25T00:00:00"/>
    <d v="2016-05-18T00:00:00"/>
    <s v="Another position"/>
    <s v="Voluntarily Terminated"/>
    <s v="Production"/>
    <s v="Janet King"/>
    <x v="4"/>
    <x v="3"/>
  </r>
  <r>
    <s v="Petingill, Shana"/>
    <n v="10217"/>
    <n v="0"/>
    <n v="74226"/>
    <s v="Production Technician II"/>
    <d v="1979-03-10T00:00:00"/>
    <s v="F"/>
    <s v="Eligible NonCitizen"/>
    <d v="2012-04-02T00:00:00"/>
    <m/>
    <s v="N/A-StillEmployed"/>
    <s v="Active"/>
    <s v="Production"/>
    <s v="Brannon Miller"/>
    <x v="5"/>
    <x v="4"/>
  </r>
  <r>
    <s v="Petrowsky, Thelma"/>
    <n v="10016"/>
    <n v="0"/>
    <n v="93554"/>
    <s v="Data Analyst"/>
    <d v="1984-09-16T00:00:00"/>
    <s v="F"/>
    <s v="US Citizen"/>
    <d v="2014-11-10T00:00:00"/>
    <m/>
    <s v="N/A-StillEmployed"/>
    <s v="Active"/>
    <s v="IT/IS"/>
    <s v="Simon Roup"/>
    <x v="33"/>
    <x v="5"/>
  </r>
  <r>
    <s v="Pham, Hong"/>
    <n v="10050"/>
    <n v="1"/>
    <n v="64724"/>
    <s v="Production Technician I"/>
    <d v="1988-03-06T00:00:00"/>
    <s v="M "/>
    <s v="US Citizen"/>
    <d v="2011-07-05T00:00:00"/>
    <d v="2012-11-30T00:00:00"/>
    <s v="more money"/>
    <s v="Voluntarily Terminated"/>
    <s v="Production"/>
    <s v="Brannon Miller"/>
    <x v="2"/>
    <x v="1"/>
  </r>
  <r>
    <s v="Pitt, Brad"/>
    <n v="10164"/>
    <n v="1"/>
    <n v="47001"/>
    <s v="Production Technician I"/>
    <d v="1981-11-23T00:00:00"/>
    <s v="M "/>
    <s v="US Citizen"/>
    <d v="2007-11-05T00:00:00"/>
    <m/>
    <s v="N/A-StillEmployed"/>
    <s v="Active"/>
    <s v="Production"/>
    <s v="David Stanley"/>
    <x v="8"/>
    <x v="18"/>
  </r>
  <r>
    <s v="Potts, Xana"/>
    <n v="10124"/>
    <n v="0"/>
    <n v="61844"/>
    <s v="Area Sales Manager"/>
    <d v="1988-08-29T00:00:00"/>
    <s v="F"/>
    <s v="US Citizen"/>
    <d v="2012-01-09T00:00:00"/>
    <m/>
    <s v="N/A-StillEmployed"/>
    <s v="Active"/>
    <s v="Sales"/>
    <s v="Lynn Daneault"/>
    <x v="2"/>
    <x v="4"/>
  </r>
  <r>
    <s v="Power, Morissa"/>
    <n v="10187"/>
    <n v="0"/>
    <n v="46799"/>
    <s v="Production Technician I"/>
    <d v="1984-10-15T00:00:00"/>
    <s v="F"/>
    <s v="Eligible NonCitizen"/>
    <d v="2011-05-16T00:00:00"/>
    <d v="2018-06-04T00:00:00"/>
    <s v="Another position"/>
    <s v="Voluntarily Terminated"/>
    <s v="Production"/>
    <s v="Kissy Sullivan"/>
    <x v="33"/>
    <x v="16"/>
  </r>
  <r>
    <s v="Punjabhi, Louis"/>
    <n v="10225"/>
    <n v="1"/>
    <n v="59472"/>
    <s v="Production Technician I"/>
    <d v="1961-06-19T00:00:00"/>
    <s v="M "/>
    <s v="US Citizen"/>
    <d v="2014-01-06T00:00:00"/>
    <m/>
    <s v="N/A-StillEmployed"/>
    <s v="Active"/>
    <s v="Production"/>
    <s v="Kelley Spirea"/>
    <x v="35"/>
    <x v="5"/>
  </r>
  <r>
    <s v="Purinton, Janine"/>
    <n v="10262"/>
    <n v="0"/>
    <n v="46430"/>
    <s v="Production Technician I"/>
    <d v="1970-09-22T00:00:00"/>
    <s v="F"/>
    <s v="US Citizen"/>
    <d v="2012-09-24T00:00:00"/>
    <d v="2013-06-18T00:00:00"/>
    <s v="unhappy"/>
    <s v="Voluntarily Terminated"/>
    <s v="Production"/>
    <s v="Kissy Sullivan"/>
    <x v="6"/>
    <x v="14"/>
  </r>
  <r>
    <s v="Quinn, Sean"/>
    <n v="10131"/>
    <n v="1"/>
    <n v="83363"/>
    <s v="Software Engineer"/>
    <d v="1984-11-06T00:00:00"/>
    <s v="M "/>
    <s v="Eligible NonCitizen"/>
    <d v="2011-02-21T00:00:00"/>
    <d v="2015-08-15T00:00:00"/>
    <s v="career change"/>
    <s v="Voluntarily Terminated"/>
    <s v="Software Engineering"/>
    <s v="Janet King"/>
    <x v="33"/>
    <x v="10"/>
  </r>
  <r>
    <s v="Rachael, Maggie"/>
    <n v="10239"/>
    <n v="0"/>
    <n v="95920"/>
    <s v="BI Developer"/>
    <d v="1980-05-12T00:00:00"/>
    <s v="F"/>
    <s v="US Citizen"/>
    <d v="2016-10-02T00:00:00"/>
    <m/>
    <s v="N/A-StillEmployed"/>
    <s v="Active"/>
    <s v="IT/IS"/>
    <s v="Brian Champaigne"/>
    <x v="18"/>
    <x v="11"/>
  </r>
  <r>
    <s v="Rarrick, Quinn"/>
    <n v="10152"/>
    <n v="1"/>
    <n v="61729"/>
    <s v="Production Technician I"/>
    <d v="1984-12-31T00:00:00"/>
    <s v="M "/>
    <s v="US Citizen"/>
    <d v="2011-09-26T00:00:00"/>
    <d v="2018-04-07T00:00:00"/>
    <s v="more money"/>
    <s v="Voluntarily Terminated"/>
    <s v="Production"/>
    <s v="Michael Albert"/>
    <x v="22"/>
    <x v="9"/>
  </r>
  <r>
    <s v="Ren, Kylo"/>
    <n v="10140"/>
    <n v="1"/>
    <n v="61809"/>
    <s v="Area Sales Manager"/>
    <d v="1954-10-12T00:00:00"/>
    <s v="M "/>
    <s v="US Citizen"/>
    <d v="2014-05-12T00:00:00"/>
    <m/>
    <s v="N/A-StillEmployed"/>
    <s v="Active"/>
    <s v="Sales"/>
    <s v="John Smith"/>
    <x v="34"/>
    <x v="5"/>
  </r>
  <r>
    <s v="Rhoads, Thomas"/>
    <n v="10058"/>
    <n v="1"/>
    <n v="45115"/>
    <s v="Production Technician I"/>
    <d v="1982-07-22T00:00:00"/>
    <s v="M "/>
    <s v="US Citizen"/>
    <d v="2011-05-16T00:00:00"/>
    <d v="2016-01-15T00:00:00"/>
    <s v="retiring"/>
    <s v="Voluntarily Terminated"/>
    <s v="Production"/>
    <s v="Elijiah Gray"/>
    <x v="27"/>
    <x v="10"/>
  </r>
  <r>
    <s v="Rivera, Haley"/>
    <n v="10011"/>
    <n v="0"/>
    <n v="46738"/>
    <s v="Production Technician I"/>
    <d v="1973-01-12T00:00:00"/>
    <s v="F"/>
    <s v="US Citizen"/>
    <d v="2011-11-28T00:00:00"/>
    <m/>
    <s v="N/A-StillEmployed"/>
    <s v="Active"/>
    <s v="Production"/>
    <s v="Webster Butler"/>
    <x v="28"/>
    <x v="0"/>
  </r>
  <r>
    <s v="Roberson, May"/>
    <n v="10230"/>
    <n v="0"/>
    <n v="64971"/>
    <s v="Production Technician II"/>
    <d v="1981-09-05T00:00:00"/>
    <s v="F"/>
    <s v="Eligible NonCitizen"/>
    <d v="2011-09-26T00:00:00"/>
    <d v="2011-10-22T00:00:00"/>
    <s v="return to school"/>
    <s v="Voluntarily Terminated"/>
    <s v="Production"/>
    <s v="David Stanley"/>
    <x v="8"/>
    <x v="14"/>
  </r>
  <r>
    <s v="Robertson, Peter"/>
    <n v="10224"/>
    <n v="1"/>
    <n v="55578"/>
    <s v="Production Technician II"/>
    <d v="1972-07-03T00:00:00"/>
    <s v="M "/>
    <s v="US Citizen"/>
    <d v="2011-07-05T00:00:00"/>
    <d v="2012-02-08T00:00:00"/>
    <s v="Another position"/>
    <s v="Voluntarily Terminated"/>
    <s v="Production"/>
    <s v="Kissy Sullivan"/>
    <x v="21"/>
    <x v="14"/>
  </r>
  <r>
    <s v="Robinson, Alain"/>
    <n v="10047"/>
    <n v="1"/>
    <n v="50428"/>
    <s v="Production Technician I"/>
    <d v="1974-01-07T00:00:00"/>
    <s v="M "/>
    <s v="US Citizen"/>
    <d v="2011-01-10T00:00:00"/>
    <d v="2016-01-26T00:00:00"/>
    <s v="attendance"/>
    <s v="Voluntarily Terminated"/>
    <s v="Production"/>
    <s v="Amy Dunn"/>
    <x v="7"/>
    <x v="3"/>
  </r>
  <r>
    <s v="Robinson, Cherly"/>
    <n v="10285"/>
    <n v="0"/>
    <n v="61422"/>
    <s v="Production Technician I"/>
    <d v="1985-01-07T00:00:00"/>
    <s v="F"/>
    <s v="US Citizen"/>
    <d v="2011-01-10T00:00:00"/>
    <d v="2016-05-17T00:00:00"/>
    <s v="attendance"/>
    <s v="Terminated for Cause"/>
    <s v="Production"/>
    <s v="Ketsia Liebig"/>
    <x v="22"/>
    <x v="3"/>
  </r>
  <r>
    <s v="Robinson, Elias"/>
    <n v="10020"/>
    <n v="1"/>
    <n v="63353"/>
    <s v="Production Technician I"/>
    <d v="1985-01-28T00:00:00"/>
    <s v="M "/>
    <s v="US Citizen"/>
    <d v="2013-07-08T00:00:00"/>
    <m/>
    <s v="N/A-StillEmployed"/>
    <s v="Active"/>
    <s v="Production"/>
    <s v="Brannon Miller"/>
    <x v="22"/>
    <x v="6"/>
  </r>
  <r>
    <s v="Roby, Lori"/>
    <n v="10162"/>
    <n v="0"/>
    <n v="89883"/>
    <s v="Data Analyst"/>
    <d v="1981-10-11T00:00:00"/>
    <s v="F"/>
    <s v="US Citizen"/>
    <d v="2015-02-16T00:00:00"/>
    <m/>
    <s v="N/A-StillEmployed"/>
    <s v="Active"/>
    <s v="IT/IS"/>
    <s v="Simon Roup"/>
    <x v="8"/>
    <x v="8"/>
  </r>
  <r>
    <s v="Roehrich, Bianca"/>
    <n v="10149"/>
    <n v="0"/>
    <n v="120000"/>
    <s v="Principal Data Architect"/>
    <d v="1973-05-27T00:00:00"/>
    <s v="F"/>
    <s v="US Citizen"/>
    <d v="2015-01-05T00:00:00"/>
    <d v="2018-11-10T00:00:00"/>
    <s v="Another position"/>
    <s v="Voluntarily Terminated"/>
    <s v="IT/IS"/>
    <s v="Simon Roup"/>
    <x v="28"/>
    <x v="12"/>
  </r>
  <r>
    <s v="Roper, Katie"/>
    <n v="10086"/>
    <n v="0"/>
    <n v="150290"/>
    <s v="Data Architect"/>
    <d v="1972-11-21T00:00:00"/>
    <s v="F"/>
    <s v="US Citizen"/>
    <d v="2017-01-07T00:00:00"/>
    <m/>
    <s v="N/A-StillEmployed"/>
    <s v="Active"/>
    <s v="IT/IS"/>
    <s v="Brian Champaigne"/>
    <x v="21"/>
    <x v="17"/>
  </r>
  <r>
    <s v="Rose, Ashley"/>
    <n v="10054"/>
    <n v="0"/>
    <n v="60627"/>
    <s v="Production Technician I"/>
    <d v="1974-12-05T00:00:00"/>
    <s v="F"/>
    <s v="US Citizen"/>
    <d v="2014-01-06T00:00:00"/>
    <m/>
    <s v="N/A-StillEmployed"/>
    <s v="Active"/>
    <s v="Production"/>
    <s v="David Stanley"/>
    <x v="7"/>
    <x v="5"/>
  </r>
  <r>
    <s v="Rossetti, Bruno"/>
    <n v="10065"/>
    <n v="1"/>
    <n v="53180"/>
    <s v="Production Technician I"/>
    <d v="1987-03-18T00:00:00"/>
    <s v="M "/>
    <s v="US Citizen"/>
    <d v="2011-04-04T00:00:00"/>
    <d v="2018-08-13T00:00:00"/>
    <s v="Another position"/>
    <s v="Voluntarily Terminated"/>
    <s v="Production"/>
    <s v="Kissy Sullivan"/>
    <x v="16"/>
    <x v="16"/>
  </r>
  <r>
    <s v="Roup,Simon"/>
    <n v="10198"/>
    <n v="1"/>
    <n v="140920"/>
    <s v="IT Manager - DB"/>
    <d v="1973-04-05T00:00:00"/>
    <s v="M "/>
    <s v="US Citizen"/>
    <d v="2013-01-20T00:00:00"/>
    <m/>
    <s v="N/A-StillEmployed"/>
    <s v="Active"/>
    <s v="IT/IS"/>
    <s v="Jennifer Zamora"/>
    <x v="28"/>
    <x v="6"/>
  </r>
  <r>
    <s v="Ruiz, Ricardo"/>
    <n v="10222"/>
    <n v="1"/>
    <n v="148999"/>
    <s v="IT Manager - DB"/>
    <d v="1964-01-04T00:00:00"/>
    <s v="M "/>
    <s v="US Citizen"/>
    <d v="2012-01-09T00:00:00"/>
    <d v="2015-11-04T00:00:00"/>
    <s v="hours"/>
    <s v="Voluntarily Terminated"/>
    <s v="IT/IS"/>
    <s v="Jennifer Zamora"/>
    <x v="15"/>
    <x v="12"/>
  </r>
  <r>
    <s v="Saada, Adell"/>
    <n v="10126"/>
    <n v="0"/>
    <n v="86214"/>
    <s v="Software Engineer"/>
    <d v="1986-07-24T00:00:00"/>
    <s v="F"/>
    <s v="US Citizen"/>
    <d v="2012-11-05T00:00:00"/>
    <m/>
    <s v="N/A-StillEmployed"/>
    <s v="Active"/>
    <s v="Software Engineering"/>
    <s v="Alex Sweetwater"/>
    <x v="10"/>
    <x v="4"/>
  </r>
  <r>
    <s v="Saar-Beckles, Melinda"/>
    <n v="10295"/>
    <n v="0"/>
    <n v="47750"/>
    <s v="Production Technician I"/>
    <d v="1968-06-06T00:00:00"/>
    <s v="F"/>
    <s v="US Citizen"/>
    <d v="2016-07-04T00:00:00"/>
    <m/>
    <s v="N/A-StillEmployed"/>
    <s v="Active"/>
    <s v="Production"/>
    <s v="Kelley Spirea"/>
    <x v="31"/>
    <x v="11"/>
  </r>
  <r>
    <s v="Sadki, Nore"/>
    <n v="10260"/>
    <n v="1"/>
    <n v="46428"/>
    <s v="Production Technician I"/>
    <d v="1974-12-21T00:00:00"/>
    <s v="M "/>
    <s v="US Citizen"/>
    <d v="2009-01-05T00:00:00"/>
    <d v="2018-07-30T00:00:00"/>
    <s v="relocation out of area"/>
    <s v="Voluntarily Terminated"/>
    <s v="Production"/>
    <s v="Michael Albert"/>
    <x v="1"/>
    <x v="11"/>
  </r>
  <r>
    <s v="Sahoo, Adil"/>
    <n v="10233"/>
    <n v="1"/>
    <n v="57975"/>
    <s v="Production Technician II"/>
    <d v="1986-04-26T00:00:00"/>
    <s v="M "/>
    <s v="US Citizen"/>
    <d v="2010-08-30T00:00:00"/>
    <m/>
    <s v="N/A-StillEmployed"/>
    <s v="Active"/>
    <s v="Production"/>
    <s v="Kelley Spirea"/>
    <x v="10"/>
    <x v="15"/>
  </r>
  <r>
    <s v="Salter, Jason"/>
    <n v="10229"/>
    <n v="1"/>
    <n v="88527"/>
    <s v="Data Analyst"/>
    <d v="1987-12-17T00:00:00"/>
    <s v="M "/>
    <s v="US Citizen"/>
    <d v="2015-01-05T00:00:00"/>
    <d v="2015-10-31T00:00:00"/>
    <s v="hours"/>
    <s v="Voluntarily Terminated"/>
    <s v="IT/IS"/>
    <s v="Simon Roup"/>
    <x v="2"/>
    <x v="14"/>
  </r>
  <r>
    <s v="Sander, Kamrin"/>
    <n v="10169"/>
    <n v="0"/>
    <n v="56147"/>
    <s v="Production Technician I"/>
    <d v="1988-07-10T00:00:00"/>
    <s v="F"/>
    <s v="US Citizen"/>
    <d v="2014-09-29T00:00:00"/>
    <m/>
    <s v="N/A-StillEmployed"/>
    <s v="Active"/>
    <s v="Production"/>
    <s v="Elijiah Gray"/>
    <x v="2"/>
    <x v="5"/>
  </r>
  <r>
    <s v="Sewkumar, Nori"/>
    <n v="10071"/>
    <n v="0"/>
    <n v="50923"/>
    <s v="Production Technician I"/>
    <d v="1975-03-10T00:00:00"/>
    <s v="F"/>
    <s v="US Citizen"/>
    <d v="2013-09-30T00:00:00"/>
    <m/>
    <s v="N/A-StillEmployed"/>
    <s v="Active"/>
    <s v="Production"/>
    <s v="Webster Butler"/>
    <x v="1"/>
    <x v="6"/>
  </r>
  <r>
    <s v="Shepard, Anita"/>
    <n v="10179"/>
    <n v="0"/>
    <n v="50750"/>
    <s v="Network Engineer"/>
    <d v="1981-04-14T00:00:00"/>
    <s v="F"/>
    <s v="US Citizen"/>
    <d v="2014-09-30T00:00:00"/>
    <m/>
    <s v="N/A-StillEmployed"/>
    <s v="Active"/>
    <s v="IT/IS"/>
    <s v="Peter Monroe"/>
    <x v="8"/>
    <x v="5"/>
  </r>
  <r>
    <s v="Shields, Seffi"/>
    <n v="10091"/>
    <n v="0"/>
    <n v="52087"/>
    <s v="Production Technician I"/>
    <d v="1985-08-24T00:00:00"/>
    <s v="F"/>
    <s v="US Citizen"/>
    <d v="2013-08-19T00:00:00"/>
    <m/>
    <s v="N/A-StillEmployed"/>
    <s v="Active"/>
    <s v="Production"/>
    <s v="Amy Dunn"/>
    <x v="22"/>
    <x v="6"/>
  </r>
  <r>
    <s v="Simard, Kramer"/>
    <n v="10178"/>
    <n v="1"/>
    <n v="87826"/>
    <s v="Data Analyst"/>
    <d v="1970-02-08T00:00:00"/>
    <s v="M "/>
    <s v="US Citizen"/>
    <d v="2015-01-05T00:00:00"/>
    <m/>
    <s v="N/A-StillEmployed"/>
    <s v="Active"/>
    <s v="IT/IS"/>
    <s v="Simon Roup"/>
    <x v="6"/>
    <x v="8"/>
  </r>
  <r>
    <s v="Singh, Nan"/>
    <n v="10039"/>
    <n v="0"/>
    <n v="51920"/>
    <s v="Administrative Assistant"/>
    <d v="1988-05-19T00:00:00"/>
    <s v="F"/>
    <s v="US Citizen"/>
    <d v="2015-05-01T00:00:00"/>
    <m/>
    <s v="N/A-StillEmployed"/>
    <s v="Active"/>
    <s v="Admin Offices"/>
    <s v="Brandon R. LeBlanc"/>
    <x v="2"/>
    <x v="8"/>
  </r>
  <r>
    <s v="Sloan, Constance"/>
    <n v="10095"/>
    <n v="0"/>
    <n v="63878"/>
    <s v="Production Technician II"/>
    <d v="1987-11-25T00:00:00"/>
    <s v="F"/>
    <s v="US Citizen"/>
    <d v="2009-10-26T00:00:00"/>
    <d v="2015-04-08T00:00:00"/>
    <s v="maternity leave - did not return"/>
    <s v="Voluntarily Terminated"/>
    <s v="Production"/>
    <s v="Michael Albert"/>
    <x v="16"/>
    <x v="3"/>
  </r>
  <r>
    <s v="Smith, Joe"/>
    <n v="10027"/>
    <n v="1"/>
    <n v="60656"/>
    <s v="Production Technician II"/>
    <d v="1963-10-30T00:00:00"/>
    <s v="M "/>
    <s v="US Citizen"/>
    <d v="2014-09-29T00:00:00"/>
    <m/>
    <s v="N/A-StillEmployed"/>
    <s v="Active"/>
    <s v="Production"/>
    <s v="Elijiah Gray"/>
    <x v="19"/>
    <x v="5"/>
  </r>
  <r>
    <s v="Smith, John"/>
    <n v="10291"/>
    <n v="1"/>
    <n v="72992"/>
    <s v="Sales Manager"/>
    <d v="1984-08-16T00:00:00"/>
    <s v="M "/>
    <s v="US Citizen"/>
    <d v="2014-05-18T00:00:00"/>
    <m/>
    <s v="N/A-StillEmployed"/>
    <s v="Active"/>
    <s v="Sales"/>
    <s v="Debra Houlihan"/>
    <x v="33"/>
    <x v="5"/>
  </r>
  <r>
    <s v="Smith, Leigh Ann"/>
    <n v="10153"/>
    <n v="0"/>
    <n v="55000"/>
    <s v="Administrative Assistant"/>
    <d v="1987-06-14T00:00:00"/>
    <s v="F"/>
    <s v="US Citizen"/>
    <d v="2011-09-26T00:00:00"/>
    <d v="2013-09-25T00:00:00"/>
    <s v="career change"/>
    <s v="Voluntarily Terminated"/>
    <s v="Admin Offices"/>
    <s v="Brandon R. LeBlanc"/>
    <x v="16"/>
    <x v="1"/>
  </r>
  <r>
    <s v="Smith, Sade"/>
    <n v="10157"/>
    <n v="0"/>
    <n v="58939"/>
    <s v="Production Technician I"/>
    <d v="1965-02-02T00:00:00"/>
    <s v="F"/>
    <s v="US Citizen"/>
    <d v="2013-11-11T00:00:00"/>
    <m/>
    <s v="N/A-StillEmployed"/>
    <s v="Active"/>
    <s v="Production"/>
    <s v="Ketsia Liebig"/>
    <x v="25"/>
    <x v="6"/>
  </r>
  <r>
    <s v="Soto, Julia"/>
    <n v="10119"/>
    <n v="0"/>
    <n v="66593"/>
    <s v="IT Support"/>
    <d v="1973-03-12T00:00:00"/>
    <s v="F"/>
    <s v="US Citizen"/>
    <d v="2011-06-10T00:00:00"/>
    <m/>
    <s v="N/A-StillEmployed"/>
    <s v="Active"/>
    <s v="IT/IS"/>
    <s v="Eric Dougall"/>
    <x v="28"/>
    <x v="0"/>
  </r>
  <r>
    <s v="Soze, Keyser"/>
    <n v="10180"/>
    <n v="1"/>
    <n v="87565"/>
    <s v="Sr. Network Engineer"/>
    <d v="1983-02-09T00:00:00"/>
    <s v="M "/>
    <s v="US Citizen"/>
    <d v="2016-06-30T00:00:00"/>
    <m/>
    <s v="N/A-StillEmployed"/>
    <s v="Active"/>
    <s v="IT/IS"/>
    <s v="Peter Monroe"/>
    <x v="0"/>
    <x v="11"/>
  </r>
  <r>
    <s v="Sparks, Taylor"/>
    <n v="10302"/>
    <n v="0"/>
    <n v="64021"/>
    <s v="Production Technician I"/>
    <d v="1968-07-20T00:00:00"/>
    <s v="F"/>
    <s v="US Citizen"/>
    <d v="2012-02-20T00:00:00"/>
    <m/>
    <s v="N/A-StillEmployed"/>
    <s v="Active"/>
    <s v="Production"/>
    <s v="Brannon Miller"/>
    <x v="31"/>
    <x v="4"/>
  </r>
  <r>
    <s v="Spirea, Kelley"/>
    <n v="10090"/>
    <n v="0"/>
    <n v="65714"/>
    <s v="Production Manager"/>
    <d v="1975-09-30T00:00:00"/>
    <s v="F"/>
    <s v="US Citizen"/>
    <d v="2012-10-02T00:00:00"/>
    <m/>
    <s v="N/A-StillEmployed"/>
    <s v="Active"/>
    <s v="Production"/>
    <s v="Janet King"/>
    <x v="1"/>
    <x v="4"/>
  </r>
  <r>
    <s v="Squatrito, Kristen"/>
    <n v="10030"/>
    <n v="0"/>
    <n v="62425"/>
    <s v="Production Technician I"/>
    <d v="1973-03-26T00:00:00"/>
    <s v="F"/>
    <s v="US Citizen"/>
    <d v="2013-05-13T00:00:00"/>
    <d v="2015-06-29T00:00:00"/>
    <s v="unhappy"/>
    <s v="Voluntarily Terminated"/>
    <s v="Production"/>
    <s v="David Stanley"/>
    <x v="28"/>
    <x v="13"/>
  </r>
  <r>
    <s v="Stanford,Barbara  M"/>
    <n v="10278"/>
    <n v="0"/>
    <n v="47961"/>
    <s v="Production Technician I"/>
    <d v="1982-08-25T00:00:00"/>
    <s v="F"/>
    <s v="US Citizen"/>
    <d v="2011-01-10T00:00:00"/>
    <m/>
    <s v="N/A-StillEmployed"/>
    <s v="Active"/>
    <s v="Production"/>
    <s v="Kissy Sullivan"/>
    <x v="27"/>
    <x v="0"/>
  </r>
  <r>
    <s v="Stansfield, Norman"/>
    <n v="10307"/>
    <n v="1"/>
    <n v="58273"/>
    <s v="Area Sales Manager"/>
    <d v="1974-05-09T00:00:00"/>
    <s v="M "/>
    <s v="US Citizen"/>
    <d v="2014-05-12T00:00:00"/>
    <m/>
    <s v="N/A-StillEmployed"/>
    <s v="Active"/>
    <s v="Sales"/>
    <s v="Lynn Daneault"/>
    <x v="7"/>
    <x v="5"/>
  </r>
  <r>
    <s v="Steans, Tyrone"/>
    <n v="10147"/>
    <n v="1"/>
    <n v="63003"/>
    <s v="Accountant I"/>
    <d v="1986-09-01T00:00:00"/>
    <s v="M "/>
    <s v="US Citizen"/>
    <d v="2014-09-29T00:00:00"/>
    <m/>
    <s v="N/A-StillEmployed"/>
    <s v="Active"/>
    <s v="Admin Offices"/>
    <s v="Brandon R. LeBlanc"/>
    <x v="10"/>
    <x v="5"/>
  </r>
  <r>
    <s v="Stoica, Rick"/>
    <n v="10266"/>
    <n v="1"/>
    <n v="61355"/>
    <s v="Production Technician I"/>
    <d v="1985-03-14T00:00:00"/>
    <s v="M "/>
    <s v="US Citizen"/>
    <d v="2014-02-17T00:00:00"/>
    <m/>
    <s v="N/A-StillEmployed"/>
    <s v="Active"/>
    <s v="Production"/>
    <s v="Kelley Spirea"/>
    <x v="22"/>
    <x v="5"/>
  </r>
  <r>
    <s v="Strong, Caitrin"/>
    <n v="10241"/>
    <n v="0"/>
    <n v="60120"/>
    <s v="Area Sales Manager"/>
    <d v="1989-05-12T00:00:00"/>
    <s v="F"/>
    <s v="US Citizen"/>
    <d v="2010-09-27T00:00:00"/>
    <m/>
    <s v="N/A-StillEmployed"/>
    <s v="Active"/>
    <s v="Sales"/>
    <s v="John Smith"/>
    <x v="3"/>
    <x v="15"/>
  </r>
  <r>
    <s v="Sullivan, Kissy"/>
    <n v="10158"/>
    <n v="0"/>
    <n v="63682"/>
    <s v="Production Manager"/>
    <d v="1978-03-28T00:00:00"/>
    <s v="F"/>
    <s v="US Citizen"/>
    <d v="2009-01-08T00:00:00"/>
    <m/>
    <s v="N/A-StillEmployed"/>
    <s v="Active"/>
    <s v="Production"/>
    <s v="Janet King"/>
    <x v="23"/>
    <x v="7"/>
  </r>
  <r>
    <s v="Sullivan, Timothy"/>
    <n v="10117"/>
    <n v="1"/>
    <n v="63025"/>
    <s v="Production Technician I"/>
    <d v="1982-10-07T00:00:00"/>
    <s v="M "/>
    <s v="US Citizen"/>
    <d v="2015-01-05T00:00:00"/>
    <m/>
    <s v="N/A-StillEmployed"/>
    <s v="Active"/>
    <s v="Production"/>
    <s v="Michael Albert"/>
    <x v="27"/>
    <x v="8"/>
  </r>
  <r>
    <s v="Sutwell, Barbara"/>
    <n v="10209"/>
    <n v="0"/>
    <n v="59238"/>
    <s v="Production Technician I"/>
    <d v="1968-08-15T00:00:00"/>
    <s v="F"/>
    <s v="Eligible NonCitizen"/>
    <d v="2012-05-14T00:00:00"/>
    <m/>
    <s v="N/A-StillEmployed"/>
    <s v="Active"/>
    <s v="Production"/>
    <s v="Elijiah Gray"/>
    <x v="31"/>
    <x v="4"/>
  </r>
  <r>
    <s v="Szabo, Andrew"/>
    <n v="10024"/>
    <n v="1"/>
    <n v="92989"/>
    <s v="Software Engineer"/>
    <d v="1983-05-06T00:00:00"/>
    <s v="M "/>
    <s v="US Citizen"/>
    <d v="2014-07-07T00:00:00"/>
    <m/>
    <s v="N/A-StillEmployed"/>
    <s v="Active"/>
    <s v="Software Engineering"/>
    <s v="Alex Sweetwater"/>
    <x v="0"/>
    <x v="5"/>
  </r>
  <r>
    <s v="Tannen, Biff"/>
    <n v="10173"/>
    <n v="1"/>
    <n v="90100"/>
    <s v="BI Developer"/>
    <d v="1987-10-24T00:00:00"/>
    <s v="M "/>
    <s v="US Citizen"/>
    <d v="2017-04-20T00:00:00"/>
    <m/>
    <s v="N/A-StillEmployed"/>
    <s v="Active"/>
    <s v="IT/IS"/>
    <s v="Brian Champaigne"/>
    <x v="16"/>
    <x v="17"/>
  </r>
  <r>
    <s v="Tavares, Desiree"/>
    <n v="10221"/>
    <n v="0"/>
    <n v="60754"/>
    <s v="Production Technician I"/>
    <d v="1975-04-03T00:00:00"/>
    <s v="F"/>
    <s v="Non-Citizen"/>
    <d v="2009-04-27T00:00:00"/>
    <d v="2013-04-01T00:00:00"/>
    <s v="Another position"/>
    <s v="Voluntarily Terminated"/>
    <s v="Production"/>
    <s v="Webster Butler"/>
    <x v="1"/>
    <x v="12"/>
  </r>
  <r>
    <s v="Tejeda, Lenora"/>
    <n v="10146"/>
    <n v="0"/>
    <n v="72202"/>
    <s v="Production Technician II"/>
    <d v="1953-05-24T00:00:00"/>
    <s v="F"/>
    <s v="US Citizen"/>
    <d v="2011-05-16T00:00:00"/>
    <d v="2017-07-08T00:00:00"/>
    <s v="Another position"/>
    <s v="Voluntarily Terminated"/>
    <s v="Production"/>
    <s v="Elijiah Gray"/>
    <x v="36"/>
    <x v="9"/>
  </r>
  <r>
    <s v="Terry, Sharlene"/>
    <n v="10161"/>
    <n v="0"/>
    <n v="58370"/>
    <s v="Area Sales Manager"/>
    <d v="1965-05-07T00:00:00"/>
    <s v="F"/>
    <s v="US Citizen"/>
    <d v="2014-09-29T00:00:00"/>
    <m/>
    <s v="N/A-StillEmployed"/>
    <s v="Active"/>
    <s v="Sales"/>
    <s v="Lynn Daneault"/>
    <x v="25"/>
    <x v="5"/>
  </r>
  <r>
    <s v="Theamstern, Sophia"/>
    <n v="10141"/>
    <n v="0"/>
    <n v="48413"/>
    <s v="Production Technician I"/>
    <d v="1965-05-09T00:00:00"/>
    <s v="F"/>
    <s v="US Citizen"/>
    <d v="2011-07-05T00:00:00"/>
    <d v="2016-09-05T00:00:00"/>
    <s v="return to school"/>
    <s v="Voluntarily Terminated"/>
    <s v="Production"/>
    <s v="Amy Dunn"/>
    <x v="25"/>
    <x v="3"/>
  </r>
  <r>
    <s v="Thibaud, Kenneth"/>
    <n v="10268"/>
    <n v="1"/>
    <n v="67176"/>
    <s v="Production Technician II"/>
    <d v="1975-09-16T00:00:00"/>
    <s v="M "/>
    <s v="US Citizen"/>
    <d v="2007-06-25T00:00:00"/>
    <d v="2010-08-30T00:00:00"/>
    <s v="military"/>
    <s v="Voluntarily Terminated"/>
    <s v="Production"/>
    <s v="Webster Butler"/>
    <x v="1"/>
    <x v="12"/>
  </r>
  <r>
    <s v="Tippett, Jeanette"/>
    <n v="10123"/>
    <n v="0"/>
    <n v="56339"/>
    <s v="Production Technician I"/>
    <d v="1967-06-05T00:00:00"/>
    <s v="F"/>
    <s v="US Citizen"/>
    <d v="2013-02-18T00:00:00"/>
    <m/>
    <s v="N/A-StillEmployed"/>
    <s v="Active"/>
    <s v="Production"/>
    <s v="Brannon Miller"/>
    <x v="14"/>
    <x v="6"/>
  </r>
  <r>
    <s v="Torrence, Jack"/>
    <n v="10013"/>
    <n v="1"/>
    <n v="64397"/>
    <s v="Area Sales Manager"/>
    <d v="1968-01-15T00:00:00"/>
    <s v="M "/>
    <s v="US Citizen"/>
    <d v="2006-01-09T00:00:00"/>
    <m/>
    <s v="N/A-StillEmployed"/>
    <s v="Active"/>
    <s v="Sales"/>
    <s v="Lynn Daneault"/>
    <x v="31"/>
    <x v="19"/>
  </r>
  <r>
    <s v="Trang, Mei"/>
    <n v="10287"/>
    <n v="0"/>
    <n v="63025"/>
    <s v="Production Technician I"/>
    <d v="1983-05-16T00:00:00"/>
    <s v="F"/>
    <s v="US Citizen"/>
    <d v="2014-02-17T00:00:00"/>
    <m/>
    <s v="N/A-StillEmployed"/>
    <s v="Active"/>
    <s v="Production"/>
    <s v="David Stanley"/>
    <x v="0"/>
    <x v="5"/>
  </r>
  <r>
    <s v="Tredinnick, Neville"/>
    <n v="10044"/>
    <n v="1"/>
    <n v="75281"/>
    <s v="Network Engineer"/>
    <d v="1988-05-05T00:00:00"/>
    <s v="M "/>
    <s v="US Citizen"/>
    <d v="2015-01-05T00:00:00"/>
    <d v="2016-02-12T00:00:00"/>
    <s v="medical issues"/>
    <s v="Voluntarily Terminated"/>
    <s v="IT/IS"/>
    <s v="Peter Monroe"/>
    <x v="2"/>
    <x v="1"/>
  </r>
  <r>
    <s v="True, Edward"/>
    <n v="10102"/>
    <n v="1"/>
    <n v="100416"/>
    <s v="Software Engineer"/>
    <d v="1983-06-14T00:00:00"/>
    <s v="M "/>
    <s v="Non-Citizen"/>
    <d v="2013-02-18T00:00:00"/>
    <d v="2018-04-15T00:00:00"/>
    <s v="medical issues"/>
    <s v="Voluntarily Terminated"/>
    <s v="Software Engineering"/>
    <s v="Alex Sweetwater"/>
    <x v="0"/>
    <x v="3"/>
  </r>
  <r>
    <s v="Trzeciak, Cybil"/>
    <n v="10270"/>
    <n v="0"/>
    <n v="74813"/>
    <s v="Production Technician II"/>
    <d v="1985-03-15T00:00:00"/>
    <s v="F"/>
    <s v="US Citizen"/>
    <d v="2011-01-10T00:00:00"/>
    <d v="2014-07-02T00:00:00"/>
    <s v="unhappy"/>
    <s v="Voluntarily Terminated"/>
    <s v="Production"/>
    <s v="Amy Dunn"/>
    <x v="22"/>
    <x v="12"/>
  </r>
  <r>
    <s v="Turpin, Jumil"/>
    <n v="10045"/>
    <n v="1"/>
    <n v="76029"/>
    <s v="Network Engineer"/>
    <d v="1969-03-31T00:00:00"/>
    <s v="M "/>
    <s v="Eligible NonCitizen"/>
    <d v="2015-03-30T00:00:00"/>
    <m/>
    <s v="N/A-StillEmployed"/>
    <s v="Active"/>
    <s v="IT/IS"/>
    <s v="Peter Monroe"/>
    <x v="17"/>
    <x v="8"/>
  </r>
  <r>
    <s v="Valentin,Jackie"/>
    <n v="10205"/>
    <n v="0"/>
    <n v="57859"/>
    <s v="Area Sales Manager"/>
    <d v="1991-05-23T00:00:00"/>
    <s v="F"/>
    <s v="US Citizen"/>
    <d v="2011-07-05T00:00:00"/>
    <m/>
    <s v="N/A-StillEmployed"/>
    <s v="Active"/>
    <s v="Sales"/>
    <s v="John Smith"/>
    <x v="29"/>
    <x v="0"/>
  </r>
  <r>
    <s v="Veera, Abdellah"/>
    <n v="10014"/>
    <n v="1"/>
    <n v="58523"/>
    <s v="Production Technician I"/>
    <d v="1987-01-31T00:00:00"/>
    <s v="M "/>
    <s v="US Citizen"/>
    <d v="2012-08-13T00:00:00"/>
    <d v="2016-02-05T00:00:00"/>
    <s v="maternity leave - did not return"/>
    <s v="Voluntarily Terminated"/>
    <s v="Production"/>
    <s v="Kissy Sullivan"/>
    <x v="16"/>
    <x v="12"/>
  </r>
  <r>
    <s v="Vega, Vincent"/>
    <n v="10144"/>
    <n v="1"/>
    <n v="88976"/>
    <s v="Production Manager"/>
    <d v="1968-10-10T00:00:00"/>
    <s v="M "/>
    <s v="US Citizen"/>
    <d v="2011-08-01T00:00:00"/>
    <m/>
    <s v="N/A-StillEmployed"/>
    <s v="Active"/>
    <s v="Production"/>
    <s v="Janet King"/>
    <x v="31"/>
    <x v="0"/>
  </r>
  <r>
    <s v="Villanueva, Noah"/>
    <n v="10253"/>
    <n v="1"/>
    <n v="55875"/>
    <s v="Area Sales Manager"/>
    <d v="1989-07-11T00:00:00"/>
    <s v="M "/>
    <s v="US Citizen"/>
    <d v="2012-03-05T00:00:00"/>
    <m/>
    <s v="N/A-StillEmployed"/>
    <s v="Active"/>
    <s v="Sales"/>
    <s v="John Smith"/>
    <x v="3"/>
    <x v="4"/>
  </r>
  <r>
    <s v="Voldemort, Lord"/>
    <n v="10118"/>
    <n v="1"/>
    <n v="113999"/>
    <s v="Database Administrator"/>
    <d v="1986-08-07T00:00:00"/>
    <s v="M "/>
    <s v="US Citizen"/>
    <d v="2015-02-16T00:00:00"/>
    <d v="2017-02-22T00:00:00"/>
    <s v="no-call, no-show"/>
    <s v="Terminated for Cause"/>
    <s v="IT/IS"/>
    <s v="Simon Roup"/>
    <x v="10"/>
    <x v="13"/>
  </r>
  <r>
    <s v="Volk, Colleen"/>
    <n v="10022"/>
    <n v="0"/>
    <n v="49773"/>
    <s v="Production Technician I"/>
    <d v="1986-06-03T00:00:00"/>
    <s v="F"/>
    <s v="US Citizen"/>
    <d v="2011-09-26T00:00:00"/>
    <d v="2016-02-08T00:00:00"/>
    <s v="gross misconduct"/>
    <s v="Terminated for Cause"/>
    <s v="Production"/>
    <s v="Kelley Spirea"/>
    <x v="10"/>
    <x v="10"/>
  </r>
  <r>
    <s v="Von Massenbach, Anna"/>
    <n v="10183"/>
    <n v="0"/>
    <n v="62068"/>
    <s v="Production Technician I"/>
    <d v="1985-04-06T00:00:00"/>
    <s v="F"/>
    <s v="US Citizen"/>
    <d v="2015-07-05T00:00:00"/>
    <m/>
    <s v="N/A-StillEmployed"/>
    <s v="Active"/>
    <s v="Production"/>
    <s v="Michael Albert"/>
    <x v="22"/>
    <x v="8"/>
  </r>
  <r>
    <s v="Walker, Roger"/>
    <n v="10190"/>
    <n v="1"/>
    <n v="66541"/>
    <s v="Production Technician II"/>
    <d v="1976-02-10T00:00:00"/>
    <s v="M "/>
    <s v="US Citizen"/>
    <d v="2014-08-18T00:00:00"/>
    <m/>
    <s v="N/A-StillEmployed"/>
    <s v="Active"/>
    <s v="Production"/>
    <s v="Ketsia Liebig"/>
    <x v="24"/>
    <x v="5"/>
  </r>
  <r>
    <s v="Wallace, Courtney  E"/>
    <n v="10274"/>
    <n v="0"/>
    <n v="80512"/>
    <s v="Production Manager"/>
    <d v="1955-11-14T00:00:00"/>
    <s v="F"/>
    <s v="US Citizen"/>
    <d v="2011-09-26T00:00:00"/>
    <d v="2012-01-02T00:00:00"/>
    <s v="Another position"/>
    <s v="Voluntarily Terminated"/>
    <s v="Production"/>
    <s v="Janet King"/>
    <x v="30"/>
    <x v="14"/>
  </r>
  <r>
    <s v="Wallace, Theresa"/>
    <n v="10293"/>
    <n v="0"/>
    <n v="50274"/>
    <s v="Production Technician I"/>
    <d v="1980-08-02T00:00:00"/>
    <s v="F"/>
    <s v="US Citizen"/>
    <d v="2012-08-13T00:00:00"/>
    <d v="2015-09-01T00:00:00"/>
    <s v="career change"/>
    <s v="Voluntarily Terminated"/>
    <s v="Production"/>
    <s v="Elijiah Gray"/>
    <x v="18"/>
    <x v="12"/>
  </r>
  <r>
    <s v="Wang, Charlie"/>
    <n v="10172"/>
    <n v="1"/>
    <n v="84903"/>
    <s v="Senior BI Developer"/>
    <d v="1981-07-08T00:00:00"/>
    <s v="M "/>
    <s v="US Citizen"/>
    <d v="2017-02-15T00:00:00"/>
    <m/>
    <s v="N/A-StillEmployed"/>
    <s v="Active"/>
    <s v="IT/IS"/>
    <s v="Brian Champaigne"/>
    <x v="8"/>
    <x v="17"/>
  </r>
  <r>
    <s v="Warfield, Sarah"/>
    <n v="10127"/>
    <n v="0"/>
    <n v="107226"/>
    <s v="Sr. Network Engineer"/>
    <d v="1978-05-02T00:00:00"/>
    <s v="F"/>
    <s v="US Citizen"/>
    <d v="2015-03-30T00:00:00"/>
    <m/>
    <s v="N/A-StillEmployed"/>
    <s v="Active"/>
    <s v="IT/IS"/>
    <s v="Peter Monroe"/>
    <x v="23"/>
    <x v="8"/>
  </r>
  <r>
    <s v="Whittier, Scott"/>
    <n v="10072"/>
    <n v="1"/>
    <n v="58371"/>
    <s v="Production Technician I"/>
    <d v="1987-05-24T00:00:00"/>
    <s v="M "/>
    <s v="US Citizen"/>
    <d v="2011-01-10T00:00:00"/>
    <d v="2014-05-15T00:00:00"/>
    <s v="hours"/>
    <s v="Voluntarily Terminated"/>
    <s v="Production"/>
    <s v="Webster Butler"/>
    <x v="16"/>
    <x v="12"/>
  </r>
  <r>
    <s v="Wilber, Barry"/>
    <n v="10048"/>
    <n v="1"/>
    <n v="55140"/>
    <s v="Production Technician I"/>
    <d v="1965-09-09T00:00:00"/>
    <s v="M "/>
    <s v="Eligible NonCitizen"/>
    <d v="2011-05-16T00:00:00"/>
    <d v="2015-09-07T00:00:00"/>
    <s v="unhappy"/>
    <s v="Voluntarily Terminated"/>
    <s v="Production"/>
    <s v="Amy Dunn"/>
    <x v="25"/>
    <x v="10"/>
  </r>
  <r>
    <s v="Wilkes, Annie"/>
    <n v="10204"/>
    <n v="0"/>
    <n v="58062"/>
    <s v="Production Technician I"/>
    <d v="1983-07-30T00:00:00"/>
    <s v="F"/>
    <s v="US Citizen"/>
    <d v="2011-01-10T00:00:00"/>
    <d v="2012-05-14T00:00:00"/>
    <s v="Another position"/>
    <s v="Voluntarily Terminated"/>
    <s v="Production"/>
    <s v="Ketsia Liebig"/>
    <x v="0"/>
    <x v="1"/>
  </r>
  <r>
    <s v="Williams, Jacquelyn"/>
    <n v="10264"/>
    <n v="0"/>
    <n v="59728"/>
    <s v="Production Technician I"/>
    <d v="1969-10-02T00:00:00"/>
    <s v="F"/>
    <s v="US Citizen"/>
    <d v="2012-01-09T00:00:00"/>
    <d v="2015-06-27T00:00:00"/>
    <s v="relocation out of area"/>
    <s v="Voluntarily Terminated"/>
    <s v="Production"/>
    <s v="Ketsia Liebig"/>
    <x v="17"/>
    <x v="12"/>
  </r>
  <r>
    <s v="Winthrop, Jordan"/>
    <n v="10033"/>
    <n v="1"/>
    <n v="70507"/>
    <s v="Production Technician II"/>
    <d v="1958-11-07T00:00:00"/>
    <s v="M "/>
    <s v="US Citizen"/>
    <d v="2013-01-07T00:00:00"/>
    <d v="2016-02-21T00:00:00"/>
    <s v="retiring"/>
    <s v="Voluntarily Terminated"/>
    <s v="Production"/>
    <s v="Brannon Miller"/>
    <x v="37"/>
    <x v="12"/>
  </r>
  <r>
    <s v="Wolk, Hang  T"/>
    <n v="10174"/>
    <n v="0"/>
    <n v="60446"/>
    <s v="Production Technician II"/>
    <d v="1985-04-20T00:00:00"/>
    <s v="F"/>
    <s v="US Citizen"/>
    <d v="2014-09-29T00:00:00"/>
    <m/>
    <s v="N/A-StillEmployed"/>
    <s v="Active"/>
    <s v="Production"/>
    <s v="David Stanley"/>
    <x v="22"/>
    <x v="5"/>
  </r>
  <r>
    <s v="Woodson, Jason"/>
    <n v="10135"/>
    <n v="1"/>
    <n v="65893"/>
    <s v="Production Technician II"/>
    <d v="1985-05-11T00:00:00"/>
    <s v="M "/>
    <s v="US Citizen"/>
    <d v="2014-07-07T00:00:00"/>
    <m/>
    <s v="N/A-StillEmployed"/>
    <s v="Active"/>
    <s v="Production"/>
    <s v="Kissy Sullivan"/>
    <x v="22"/>
    <x v="5"/>
  </r>
  <r>
    <s v="Ybarra, Catherine"/>
    <n v="10301"/>
    <n v="0"/>
    <n v="48513"/>
    <s v="Production Technician I"/>
    <d v="1982-05-04T00:00:00"/>
    <s v="F"/>
    <s v="US Citizen"/>
    <d v="2008-09-02T00:00:00"/>
    <d v="2015-09-29T00:00:00"/>
    <s v="Another position"/>
    <s v="Voluntarily Terminated"/>
    <s v="Production"/>
    <s v="Brannon Miller"/>
    <x v="27"/>
    <x v="16"/>
  </r>
  <r>
    <s v="Zamora, Jennifer"/>
    <n v="10010"/>
    <n v="0"/>
    <n v="220450"/>
    <s v="CIO"/>
    <d v="1979-08-30T00:00:00"/>
    <s v="F"/>
    <s v="US Citizen"/>
    <d v="2010-04-10T00:00:00"/>
    <m/>
    <s v="N/A-StillEmployed"/>
    <s v="Active"/>
    <s v="IT/IS"/>
    <s v="Janet King"/>
    <x v="5"/>
    <x v="15"/>
  </r>
  <r>
    <s v="Zhou, Julia"/>
    <n v="10043"/>
    <n v="0"/>
    <n v="89292"/>
    <s v="Data Analyst"/>
    <d v="1979-02-24T00:00:00"/>
    <s v="F"/>
    <s v="US Citizen"/>
    <d v="2015-03-30T00:00:00"/>
    <m/>
    <s v="N/A-StillEmployed"/>
    <s v="Active"/>
    <s v="IT/IS"/>
    <s v="Simon Roup"/>
    <x v="5"/>
    <x v="8"/>
  </r>
  <r>
    <s v="Zima, Colleen"/>
    <n v="10271"/>
    <n v="0"/>
    <n v="45046"/>
    <s v="Production Technician I"/>
    <d v="1978-08-17T00:00:00"/>
    <s v="F"/>
    <s v="US Citizen"/>
    <d v="2014-09-29T00:00:00"/>
    <m/>
    <s v="N/A-StillEmployed"/>
    <s v="Active"/>
    <s v="Production"/>
    <s v="David Stanley"/>
    <x v="23"/>
    <x v="5"/>
  </r>
  <r>
    <s v="Підсумок"/>
    <m/>
    <m/>
    <n v="69020.684887459807"/>
    <m/>
    <m/>
    <m/>
    <m/>
    <m/>
    <m/>
    <m/>
    <n v="311"/>
    <m/>
    <n v="311"/>
    <x v="38"/>
    <x v="20"/>
  </r>
  <r>
    <m/>
    <m/>
    <m/>
    <m/>
    <m/>
    <m/>
    <m/>
    <m/>
    <m/>
    <m/>
    <m/>
    <m/>
    <m/>
    <m/>
    <x v="39"/>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1850A3-F1B9-473B-B145-9F934099C91C}"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6" rowHeaderCaption="Department">
  <location ref="A3:C10" firstHeaderRow="0" firstDataRow="1" firstDataCol="1"/>
  <pivotFields count="16">
    <pivotField showAll="0"/>
    <pivotField showAll="0"/>
    <pivotField showAll="0"/>
    <pivotField dataField="1" numFmtId="2" showAll="0"/>
    <pivotField dataField="1" showAll="0">
      <items count="32">
        <item x="10"/>
        <item x="22"/>
        <item x="11"/>
        <item x="17"/>
        <item x="13"/>
        <item x="30"/>
        <item x="5"/>
        <item x="28"/>
        <item x="6"/>
        <item x="14"/>
        <item x="21"/>
        <item x="7"/>
        <item x="20"/>
        <item x="29"/>
        <item x="26"/>
        <item x="18"/>
        <item x="4"/>
        <item x="19"/>
        <item x="23"/>
        <item x="27"/>
        <item x="9"/>
        <item x="0"/>
        <item x="2"/>
        <item x="16"/>
        <item x="24"/>
        <item x="25"/>
        <item x="3"/>
        <item x="12"/>
        <item x="8"/>
        <item x="1"/>
        <item x="15"/>
        <item t="default"/>
      </items>
    </pivotField>
    <pivotField numFmtId="14" showAll="0"/>
    <pivotField showAll="0"/>
    <pivotField showAll="0"/>
    <pivotField numFmtId="14" showAll="0"/>
    <pivotField showAll="0"/>
    <pivotField showAll="0"/>
    <pivotField showAll="0"/>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2"/>
  </rowFields>
  <rowItems count="7">
    <i>
      <x v="1"/>
    </i>
    <i>
      <x v="2"/>
    </i>
    <i>
      <x v="5"/>
    </i>
    <i>
      <x/>
    </i>
    <i>
      <x v="4"/>
    </i>
    <i>
      <x v="3"/>
    </i>
    <i t="grand">
      <x/>
    </i>
  </rowItems>
  <colFields count="1">
    <field x="-2"/>
  </colFields>
  <colItems count="2">
    <i>
      <x/>
    </i>
    <i i="1">
      <x v="1"/>
    </i>
  </colItems>
  <dataFields count="2">
    <dataField name="Середнє з Salary" fld="3" subtotal="average" baseField="12" baseItem="0" numFmtId="1"/>
    <dataField name="Кількість з Position" fld="4" subtotal="count" baseField="0" baseItem="0"/>
  </dataFields>
  <chartFormats count="2">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82986-69AC-4AC3-8402-8DB7E8972187}" name="Зведена таблиця1" cacheId="9"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Age">
  <location ref="A3:B42" firstHeaderRow="1" firstDataRow="1" firstDataCol="1"/>
  <pivotFields count="16">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axis="axisRow" showAll="0">
      <items count="41">
        <item x="32"/>
        <item x="29"/>
        <item x="13"/>
        <item x="3"/>
        <item x="2"/>
        <item x="16"/>
        <item x="10"/>
        <item x="22"/>
        <item x="33"/>
        <item x="0"/>
        <item x="27"/>
        <item x="8"/>
        <item x="18"/>
        <item x="5"/>
        <item h="1" x="38"/>
        <item x="23"/>
        <item x="4"/>
        <item x="24"/>
        <item x="1"/>
        <item x="7"/>
        <item x="28"/>
        <item x="21"/>
        <item x="11"/>
        <item x="6"/>
        <item x="17"/>
        <item x="31"/>
        <item x="14"/>
        <item x="9"/>
        <item x="25"/>
        <item x="15"/>
        <item x="19"/>
        <item x="35"/>
        <item x="12"/>
        <item x="37"/>
        <item x="30"/>
        <item x="34"/>
        <item x="36"/>
        <item x="26"/>
        <item x="20"/>
        <item h="1" x="39"/>
        <item t="default"/>
      </items>
    </pivotField>
    <pivotField showAll="0"/>
  </pivotFields>
  <rowFields count="1">
    <field x="14"/>
  </rowFields>
  <rowItems count="39">
    <i>
      <x/>
    </i>
    <i>
      <x v="1"/>
    </i>
    <i>
      <x v="2"/>
    </i>
    <i>
      <x v="3"/>
    </i>
    <i>
      <x v="4"/>
    </i>
    <i>
      <x v="5"/>
    </i>
    <i>
      <x v="6"/>
    </i>
    <i>
      <x v="7"/>
    </i>
    <i>
      <x v="8"/>
    </i>
    <i>
      <x v="9"/>
    </i>
    <i>
      <x v="10"/>
    </i>
    <i>
      <x v="11"/>
    </i>
    <i>
      <x v="12"/>
    </i>
    <i>
      <x v="13"/>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Середнє з Salary" fld="3" subtotal="average" baseField="14"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0D7127C-9B11-40DA-81BF-712D6B284100}" name="Зведена таблиця2" cacheId="9"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1" rowHeaderCaption="Experience">
  <location ref="A3:B24" firstHeaderRow="1" firstDataRow="1" firstDataCol="1"/>
  <pivotFields count="16">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14"/>
        <item x="1"/>
        <item x="13"/>
        <item x="12"/>
        <item x="10"/>
        <item x="3"/>
        <item x="9"/>
        <item x="16"/>
        <item x="17"/>
        <item h="1" x="20"/>
        <item x="11"/>
        <item x="8"/>
        <item x="5"/>
        <item x="6"/>
        <item x="4"/>
        <item x="0"/>
        <item x="15"/>
        <item x="7"/>
        <item x="2"/>
        <item x="18"/>
        <item x="19"/>
        <item h="1" x="21"/>
        <item t="default"/>
      </items>
    </pivotField>
  </pivotFields>
  <rowFields count="1">
    <field x="15"/>
  </rowFields>
  <rowItems count="21">
    <i>
      <x/>
    </i>
    <i>
      <x v="1"/>
    </i>
    <i>
      <x v="2"/>
    </i>
    <i>
      <x v="3"/>
    </i>
    <i>
      <x v="4"/>
    </i>
    <i>
      <x v="5"/>
    </i>
    <i>
      <x v="6"/>
    </i>
    <i>
      <x v="7"/>
    </i>
    <i>
      <x v="8"/>
    </i>
    <i>
      <x v="10"/>
    </i>
    <i>
      <x v="11"/>
    </i>
    <i>
      <x v="12"/>
    </i>
    <i>
      <x v="13"/>
    </i>
    <i>
      <x v="14"/>
    </i>
    <i>
      <x v="15"/>
    </i>
    <i>
      <x v="16"/>
    </i>
    <i>
      <x v="17"/>
    </i>
    <i>
      <x v="18"/>
    </i>
    <i>
      <x v="19"/>
    </i>
    <i>
      <x v="20"/>
    </i>
    <i t="grand">
      <x/>
    </i>
  </rowItems>
  <colItems count="1">
    <i/>
  </colItems>
  <dataFields count="1">
    <dataField name="Середнє з Salary" fld="3" subtotal="average" baseField="15"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29"/>
    <tableColumn id="2" xr3:uid="{BEAB6FB1-D5C7-42F5-9F26-A9B447C44D34}" uniqueName="2" name="EmpID" queryTableFieldId="2" totalsRowDxfId="28"/>
    <tableColumn id="3" xr3:uid="{397CF102-4293-4481-BFAE-0B3D2B348160}" uniqueName="3" name="GenderID" queryTableFieldId="3" totalsRowDxfId="27"/>
    <tableColumn id="4" xr3:uid="{38A122EA-0347-4570-BF5B-4FA57F6BA9C5}" uniqueName="4" name="Salary" totalsRowFunction="average" queryTableFieldId="4" dataDxfId="26" totalsRowDxfId="25"/>
    <tableColumn id="5" xr3:uid="{92A7FDDB-7044-4095-B7E6-661E59EB5D74}" uniqueName="5" name="Position" queryTableFieldId="5" dataDxfId="24" totalsRowDxfId="23"/>
    <tableColumn id="6" xr3:uid="{C60E0FEE-1DFA-45E8-800A-2CC6600AF4F2}" uniqueName="6" name="DOB" queryTableFieldId="6" dataDxfId="22" totalsRowDxfId="21"/>
    <tableColumn id="7" xr3:uid="{CD8449F9-309B-45A3-A14A-C2429E7EA4C7}" uniqueName="7" name="Sex" queryTableFieldId="7" dataDxfId="20" totalsRowDxfId="19"/>
    <tableColumn id="8" xr3:uid="{1B446900-7DD4-4FC8-8495-8B92E69A854B}" uniqueName="8" name="CitizenDesc" queryTableFieldId="8" dataDxfId="18" totalsRowDxfId="17"/>
    <tableColumn id="9" xr3:uid="{294582B3-6CE5-4308-9124-823642574DEE}" uniqueName="9" name="DateofHire" queryTableFieldId="9" dataDxfId="16" totalsRowDxfId="15"/>
    <tableColumn id="10" xr3:uid="{9AD61435-7995-48F1-98A2-AE58EDB1CEEC}" uniqueName="10" name="DateofTermination" queryTableFieldId="10" dataDxfId="14" totalsRowDxfId="13"/>
    <tableColumn id="11" xr3:uid="{79D2E0D1-8707-4E8D-828D-34F246FEBE73}" uniqueName="11" name="TermReason" queryTableFieldId="11" dataDxfId="12" totalsRowDxfId="11"/>
    <tableColumn id="12" xr3:uid="{8E5FE07E-3A76-423C-9ED8-5EF75465016F}" uniqueName="12" name="EmploymentStatus" totalsRowFunction="count" queryTableFieldId="12" dataDxfId="10" totalsRowDxfId="9"/>
    <tableColumn id="13" xr3:uid="{14F95057-44E0-4669-9378-93872DCEB711}" uniqueName="13" name="Department" queryTableFieldId="13" dataDxfId="8" totalsRowDxfId="7"/>
    <tableColumn id="14" xr3:uid="{2D3C1819-424E-4E1C-BA32-2F3FEC5CE7D7}" uniqueName="14" name="ManagerName" totalsRowFunction="count" queryTableFieldId="14" dataDxfId="6" totalsRowDxfId="5"/>
    <tableColumn id="15" xr3:uid="{41A5A662-2EBA-4F0B-A187-319218E766C8}" uniqueName="15" name="Age" totalsRowFunction="average" queryTableFieldId="15" dataDxfId="4" totalsRowDxfId="3">
      <calculatedColumnFormula>DATEDIF(HRDataset_clean[[#This Row],[DOB]], TODAY(), "Y")</calculatedColumnFormula>
    </tableColumn>
    <tableColumn id="16" xr3:uid="{4DB63E1C-C3BC-4899-8FC0-92DDE29B5436}" uniqueName="16" name="Experience" totalsRowFunction="average" queryTableFieldId="16" dataDxfId="2" totalsRowDxfId="1">
      <calculatedColumnFormula>DATEDIF(HRDataset_clean[[#This Row],[DateofHire]], IF(HRDataset_clean[[#This Row],[DateofTermination]]="", TODAY(),HRDataset_clean[[#This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workbookViewId="0">
      <selection activeCell="R9" sqref="A1:XFD1048576"/>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39</v>
      </c>
      <c r="P161">
        <f ca="1">DATEDIF(HRDataset_clean[[#This Row],[DateofHire]], IF(HRDataset_clean[[#This Row],[DateofTermination]]="", TODAY(),HRDataset_clean[[#This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39</v>
      </c>
      <c r="P180">
        <f ca="1">DATEDIF(HRDataset_clean[[#This Row],[DateofHire]], IF(HRDataset_clean[[#This Row],[DateofTermination]]="", TODAY(),HRDataset_clean[[#This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49</v>
      </c>
      <c r="P210">
        <f ca="1">DATEDIF(HRDataset_clean[[#This Row],[DateofHire]], IF(HRDataset_clean[[#This Row],[DateofTermination]]="", TODAY(),HRDataset_clean[[#This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row>
    <row r="313" spans="1:16"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46.382636655948552</v>
      </c>
      <c r="P313" s="7">
        <f ca="1">SUBTOTAL(101,HRDataset_clean[Experience])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workbookViewId="0"/>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735</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6">
        <f>MEDIAN(HRDataset_clean[Salary])</f>
        <v>62810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E72-ECDE-4205-8485-68AFDC3AF2A3}">
  <dimension ref="A1:E10"/>
  <sheetViews>
    <sheetView topLeftCell="B1" workbookViewId="0">
      <selection activeCell="F22" sqref="F22"/>
    </sheetView>
  </sheetViews>
  <sheetFormatPr defaultRowHeight="14.5" x14ac:dyDescent="0.35"/>
  <cols>
    <col min="1" max="1" width="18.36328125" bestFit="1" customWidth="1"/>
    <col min="2" max="2" width="15.36328125" bestFit="1" customWidth="1"/>
    <col min="3" max="3" width="17.26953125" bestFit="1" customWidth="1"/>
  </cols>
  <sheetData>
    <row r="1" spans="1:5" ht="18.5" x14ac:dyDescent="0.45">
      <c r="A1" s="11" t="s">
        <v>737</v>
      </c>
      <c r="B1" s="10"/>
      <c r="C1" s="10"/>
      <c r="D1" s="10"/>
      <c r="E1" s="10"/>
    </row>
    <row r="3" spans="1:5" x14ac:dyDescent="0.35">
      <c r="A3" s="8" t="s">
        <v>324</v>
      </c>
      <c r="B3" t="s">
        <v>732</v>
      </c>
      <c r="C3" t="s">
        <v>736</v>
      </c>
    </row>
    <row r="4" spans="1:5" x14ac:dyDescent="0.35">
      <c r="A4" s="3" t="s">
        <v>551</v>
      </c>
      <c r="B4" s="15">
        <v>250000</v>
      </c>
      <c r="C4">
        <v>1</v>
      </c>
    </row>
    <row r="5" spans="1:5" x14ac:dyDescent="0.35">
      <c r="A5" s="3" t="s">
        <v>338</v>
      </c>
      <c r="B5" s="15">
        <v>97064.639999999999</v>
      </c>
      <c r="C5">
        <v>50</v>
      </c>
    </row>
    <row r="6" spans="1:5" x14ac:dyDescent="0.35">
      <c r="A6" s="3" t="s">
        <v>354</v>
      </c>
      <c r="B6" s="15">
        <v>94989.454545454544</v>
      </c>
      <c r="C6">
        <v>11</v>
      </c>
    </row>
    <row r="7" spans="1:5" x14ac:dyDescent="0.35">
      <c r="A7" s="3" t="s">
        <v>393</v>
      </c>
      <c r="B7" s="15">
        <v>71791.888888888891</v>
      </c>
      <c r="C7">
        <v>9</v>
      </c>
    </row>
    <row r="8" spans="1:5" x14ac:dyDescent="0.35">
      <c r="A8" s="3" t="s">
        <v>406</v>
      </c>
      <c r="B8" s="15">
        <v>69061.258064516136</v>
      </c>
      <c r="C8">
        <v>31</v>
      </c>
    </row>
    <row r="9" spans="1:5" x14ac:dyDescent="0.35">
      <c r="A9" s="3" t="s">
        <v>332</v>
      </c>
      <c r="B9" s="15">
        <v>59953.545454545456</v>
      </c>
      <c r="C9">
        <v>209</v>
      </c>
    </row>
    <row r="10" spans="1:5" x14ac:dyDescent="0.35">
      <c r="A10" s="3" t="s">
        <v>724</v>
      </c>
      <c r="B10" s="15">
        <v>69020.684887459807</v>
      </c>
      <c r="C10">
        <v>311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E133-0E77-4FD6-9DF4-4B3BC0531991}">
  <dimension ref="A1:B42"/>
  <sheetViews>
    <sheetView workbookViewId="0">
      <selection activeCell="M16" sqref="M16"/>
    </sheetView>
  </sheetViews>
  <sheetFormatPr defaultRowHeight="14.5" x14ac:dyDescent="0.35"/>
  <cols>
    <col min="1" max="1" width="18.36328125" bestFit="1" customWidth="1"/>
    <col min="2" max="2" width="15.36328125" bestFit="1" customWidth="1"/>
    <col min="3" max="3" width="12.08984375" bestFit="1" customWidth="1"/>
  </cols>
  <sheetData>
    <row r="1" spans="1:2" ht="18.5" x14ac:dyDescent="0.45">
      <c r="A1" s="11" t="s">
        <v>738</v>
      </c>
      <c r="B1" s="10"/>
    </row>
    <row r="3" spans="1:2" x14ac:dyDescent="0.35">
      <c r="A3" s="8" t="s">
        <v>722</v>
      </c>
      <c r="B3" t="s">
        <v>732</v>
      </c>
    </row>
    <row r="4" spans="1:2" x14ac:dyDescent="0.35">
      <c r="A4" s="3">
        <v>33</v>
      </c>
      <c r="B4" s="15">
        <v>58740</v>
      </c>
    </row>
    <row r="5" spans="1:2" x14ac:dyDescent="0.35">
      <c r="A5" s="3">
        <v>34</v>
      </c>
      <c r="B5" s="15">
        <v>56612.333333333336</v>
      </c>
    </row>
    <row r="6" spans="1:2" x14ac:dyDescent="0.35">
      <c r="A6" s="3">
        <v>35</v>
      </c>
      <c r="B6" s="15">
        <v>60010</v>
      </c>
    </row>
    <row r="7" spans="1:2" x14ac:dyDescent="0.35">
      <c r="A7" s="3">
        <v>36</v>
      </c>
      <c r="B7" s="15">
        <v>63927.6</v>
      </c>
    </row>
    <row r="8" spans="1:2" x14ac:dyDescent="0.35">
      <c r="A8" s="3">
        <v>37</v>
      </c>
      <c r="B8" s="15">
        <v>65427.555555555555</v>
      </c>
    </row>
    <row r="9" spans="1:2" x14ac:dyDescent="0.35">
      <c r="A9" s="3">
        <v>38</v>
      </c>
      <c r="B9" s="15">
        <v>71174.444444444438</v>
      </c>
    </row>
    <row r="10" spans="1:2" x14ac:dyDescent="0.35">
      <c r="A10" s="3">
        <v>39</v>
      </c>
      <c r="B10" s="15">
        <v>74990</v>
      </c>
    </row>
    <row r="11" spans="1:2" x14ac:dyDescent="0.35">
      <c r="A11" s="3">
        <v>40</v>
      </c>
      <c r="B11" s="15">
        <v>61182.214285714283</v>
      </c>
    </row>
    <row r="12" spans="1:2" x14ac:dyDescent="0.35">
      <c r="A12" s="3">
        <v>41</v>
      </c>
      <c r="B12" s="15">
        <v>71728.399999999994</v>
      </c>
    </row>
    <row r="13" spans="1:2" x14ac:dyDescent="0.35">
      <c r="A13" s="3">
        <v>42</v>
      </c>
      <c r="B13" s="15">
        <v>71999.952380952382</v>
      </c>
    </row>
    <row r="14" spans="1:2" x14ac:dyDescent="0.35">
      <c r="A14" s="3">
        <v>43</v>
      </c>
      <c r="B14" s="15">
        <v>57846.25</v>
      </c>
    </row>
    <row r="15" spans="1:2" x14ac:dyDescent="0.35">
      <c r="A15" s="3">
        <v>44</v>
      </c>
      <c r="B15" s="15">
        <v>66353.71428571429</v>
      </c>
    </row>
    <row r="16" spans="1:2" x14ac:dyDescent="0.35">
      <c r="A16" s="3">
        <v>45</v>
      </c>
      <c r="B16" s="15">
        <v>74485.222222222219</v>
      </c>
    </row>
    <row r="17" spans="1:2" x14ac:dyDescent="0.35">
      <c r="A17" s="3">
        <v>46</v>
      </c>
      <c r="B17" s="15">
        <v>78318.894736842107</v>
      </c>
    </row>
    <row r="18" spans="1:2" x14ac:dyDescent="0.35">
      <c r="A18" s="3">
        <v>47</v>
      </c>
      <c r="B18" s="15">
        <v>65068.875</v>
      </c>
    </row>
    <row r="19" spans="1:2" x14ac:dyDescent="0.35">
      <c r="A19" s="3">
        <v>48</v>
      </c>
      <c r="B19" s="15">
        <v>58371.75</v>
      </c>
    </row>
    <row r="20" spans="1:2" x14ac:dyDescent="0.35">
      <c r="A20" s="3">
        <v>49</v>
      </c>
      <c r="B20" s="15">
        <v>63770.111111111109</v>
      </c>
    </row>
    <row r="21" spans="1:2" x14ac:dyDescent="0.35">
      <c r="A21" s="3">
        <v>50</v>
      </c>
      <c r="B21" s="15">
        <v>64360.444444444445</v>
      </c>
    </row>
    <row r="22" spans="1:2" x14ac:dyDescent="0.35">
      <c r="A22" s="3">
        <v>51</v>
      </c>
      <c r="B22" s="15">
        <v>56556.090909090912</v>
      </c>
    </row>
    <row r="23" spans="1:2" x14ac:dyDescent="0.35">
      <c r="A23" s="3">
        <v>52</v>
      </c>
      <c r="B23" s="15">
        <v>75090.777777777781</v>
      </c>
    </row>
    <row r="24" spans="1:2" x14ac:dyDescent="0.35">
      <c r="A24" s="3">
        <v>53</v>
      </c>
      <c r="B24" s="15">
        <v>83097.71428571429</v>
      </c>
    </row>
    <row r="25" spans="1:2" x14ac:dyDescent="0.35">
      <c r="A25" s="3">
        <v>54</v>
      </c>
      <c r="B25" s="15">
        <v>75071.333333333328</v>
      </c>
    </row>
    <row r="26" spans="1:2" x14ac:dyDescent="0.35">
      <c r="A26" s="3">
        <v>55</v>
      </c>
      <c r="B26" s="15">
        <v>70767.818181818177</v>
      </c>
    </row>
    <row r="27" spans="1:2" x14ac:dyDescent="0.35">
      <c r="A27" s="3">
        <v>56</v>
      </c>
      <c r="B27" s="15">
        <v>66627.428571428565</v>
      </c>
    </row>
    <row r="28" spans="1:2" x14ac:dyDescent="0.35">
      <c r="A28" s="3">
        <v>57</v>
      </c>
      <c r="B28" s="15">
        <v>64678.285714285717</v>
      </c>
    </row>
    <row r="29" spans="1:2" x14ac:dyDescent="0.35">
      <c r="A29" s="3">
        <v>58</v>
      </c>
      <c r="B29" s="15">
        <v>55081.75</v>
      </c>
    </row>
    <row r="30" spans="1:2" x14ac:dyDescent="0.35">
      <c r="A30" s="3">
        <v>59</v>
      </c>
      <c r="B30" s="15">
        <v>93223</v>
      </c>
    </row>
    <row r="31" spans="1:2" x14ac:dyDescent="0.35">
      <c r="A31" s="3">
        <v>60</v>
      </c>
      <c r="B31" s="15">
        <v>62638.2</v>
      </c>
    </row>
    <row r="32" spans="1:2" x14ac:dyDescent="0.35">
      <c r="A32" s="3">
        <v>61</v>
      </c>
      <c r="B32" s="15">
        <v>91254.399999999994</v>
      </c>
    </row>
    <row r="33" spans="1:2" x14ac:dyDescent="0.35">
      <c r="A33" s="3">
        <v>62</v>
      </c>
      <c r="B33" s="15">
        <v>66589</v>
      </c>
    </row>
    <row r="34" spans="1:2" x14ac:dyDescent="0.35">
      <c r="A34" s="3">
        <v>64</v>
      </c>
      <c r="B34" s="15">
        <v>59472</v>
      </c>
    </row>
    <row r="35" spans="1:2" x14ac:dyDescent="0.35">
      <c r="A35" s="3">
        <v>66</v>
      </c>
      <c r="B35" s="15">
        <v>55878</v>
      </c>
    </row>
    <row r="36" spans="1:2" x14ac:dyDescent="0.35">
      <c r="A36" s="3">
        <v>67</v>
      </c>
      <c r="B36" s="15">
        <v>70507</v>
      </c>
    </row>
    <row r="37" spans="1:2" x14ac:dyDescent="0.35">
      <c r="A37" s="3">
        <v>70</v>
      </c>
      <c r="B37" s="15">
        <v>69130</v>
      </c>
    </row>
    <row r="38" spans="1:2" x14ac:dyDescent="0.35">
      <c r="A38" s="3">
        <v>71</v>
      </c>
      <c r="B38" s="15">
        <v>155904.5</v>
      </c>
    </row>
    <row r="39" spans="1:2" x14ac:dyDescent="0.35">
      <c r="A39" s="3">
        <v>72</v>
      </c>
      <c r="B39" s="15">
        <v>72202</v>
      </c>
    </row>
    <row r="40" spans="1:2" x14ac:dyDescent="0.35">
      <c r="A40" s="3">
        <v>73</v>
      </c>
      <c r="B40" s="15">
        <v>69723.666666666672</v>
      </c>
    </row>
    <row r="41" spans="1:2" x14ac:dyDescent="0.35">
      <c r="A41" s="3">
        <v>74</v>
      </c>
      <c r="B41" s="15">
        <v>59965.5</v>
      </c>
    </row>
    <row r="42" spans="1:2" x14ac:dyDescent="0.35">
      <c r="A42" s="3" t="s">
        <v>724</v>
      </c>
      <c r="B42" s="15">
        <v>69020.684887459807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7DB75-23F8-40FF-AD11-2C111567608B}">
  <dimension ref="A1:C24"/>
  <sheetViews>
    <sheetView tabSelected="1" workbookViewId="0">
      <selection activeCell="P7" sqref="P7"/>
    </sheetView>
  </sheetViews>
  <sheetFormatPr defaultRowHeight="14.5" x14ac:dyDescent="0.35"/>
  <cols>
    <col min="1" max="1" width="18.36328125" bestFit="1" customWidth="1"/>
    <col min="2" max="2" width="15.36328125" bestFit="1" customWidth="1"/>
    <col min="3" max="3" width="16.26953125" bestFit="1" customWidth="1"/>
    <col min="4" max="4" width="12.08984375" bestFit="1" customWidth="1"/>
  </cols>
  <sheetData>
    <row r="1" spans="1:3" ht="18.5" x14ac:dyDescent="0.45">
      <c r="A1" s="11" t="s">
        <v>739</v>
      </c>
      <c r="B1" s="10"/>
      <c r="C1" s="10"/>
    </row>
    <row r="3" spans="1:3" x14ac:dyDescent="0.35">
      <c r="A3" s="8" t="s">
        <v>723</v>
      </c>
      <c r="B3" t="s">
        <v>732</v>
      </c>
    </row>
    <row r="4" spans="1:3" x14ac:dyDescent="0.35">
      <c r="A4" s="3">
        <v>0</v>
      </c>
      <c r="B4" s="15">
        <v>70947.555555555562</v>
      </c>
    </row>
    <row r="5" spans="1:3" x14ac:dyDescent="0.35">
      <c r="A5" s="3">
        <v>1</v>
      </c>
      <c r="B5" s="15">
        <v>69807.850000000006</v>
      </c>
    </row>
    <row r="6" spans="1:3" x14ac:dyDescent="0.35">
      <c r="A6" s="3">
        <v>2</v>
      </c>
      <c r="B6" s="15">
        <v>73319.28571428571</v>
      </c>
    </row>
    <row r="7" spans="1:3" x14ac:dyDescent="0.35">
      <c r="A7" s="3">
        <v>3</v>
      </c>
      <c r="B7" s="15">
        <v>70365.789473684214</v>
      </c>
    </row>
    <row r="8" spans="1:3" x14ac:dyDescent="0.35">
      <c r="A8" s="3">
        <v>4</v>
      </c>
      <c r="B8" s="15">
        <v>57802.0625</v>
      </c>
    </row>
    <row r="9" spans="1:3" x14ac:dyDescent="0.35">
      <c r="A9" s="3">
        <v>5</v>
      </c>
      <c r="B9" s="15">
        <v>60863.666666666664</v>
      </c>
    </row>
    <row r="10" spans="1:3" x14ac:dyDescent="0.35">
      <c r="A10" s="3">
        <v>6</v>
      </c>
      <c r="B10" s="15">
        <v>58991.333333333336</v>
      </c>
    </row>
    <row r="11" spans="1:3" x14ac:dyDescent="0.35">
      <c r="A11" s="3">
        <v>7</v>
      </c>
      <c r="B11" s="15">
        <v>51621.4</v>
      </c>
    </row>
    <row r="12" spans="1:3" x14ac:dyDescent="0.35">
      <c r="A12" s="3">
        <v>8</v>
      </c>
      <c r="B12" s="15">
        <v>101509</v>
      </c>
    </row>
    <row r="13" spans="1:3" x14ac:dyDescent="0.35">
      <c r="A13" s="3">
        <v>9</v>
      </c>
      <c r="B13" s="15">
        <v>73837.46666666666</v>
      </c>
    </row>
    <row r="14" spans="1:3" x14ac:dyDescent="0.35">
      <c r="A14" s="3">
        <v>10</v>
      </c>
      <c r="B14" s="15">
        <v>70206.620689655174</v>
      </c>
    </row>
    <row r="15" spans="1:3" x14ac:dyDescent="0.35">
      <c r="A15" s="3">
        <v>11</v>
      </c>
      <c r="B15" s="15">
        <v>68069.528301886792</v>
      </c>
    </row>
    <row r="16" spans="1:3" x14ac:dyDescent="0.35">
      <c r="A16" s="3">
        <v>12</v>
      </c>
      <c r="B16" s="15">
        <v>64594.729729729726</v>
      </c>
    </row>
    <row r="17" spans="1:2" x14ac:dyDescent="0.35">
      <c r="A17" s="3">
        <v>13</v>
      </c>
      <c r="B17" s="15">
        <v>72849.275862068971</v>
      </c>
    </row>
    <row r="18" spans="1:2" x14ac:dyDescent="0.35">
      <c r="A18" s="3">
        <v>14</v>
      </c>
      <c r="B18" s="15">
        <v>66858.291666666672</v>
      </c>
    </row>
    <row r="19" spans="1:2" x14ac:dyDescent="0.35">
      <c r="A19" s="3">
        <v>15</v>
      </c>
      <c r="B19" s="15">
        <v>89136.166666666672</v>
      </c>
    </row>
    <row r="20" spans="1:2" x14ac:dyDescent="0.35">
      <c r="A20" s="3">
        <v>16</v>
      </c>
      <c r="B20" s="15">
        <v>95342.5</v>
      </c>
    </row>
    <row r="21" spans="1:2" x14ac:dyDescent="0.35">
      <c r="A21" s="3">
        <v>17</v>
      </c>
      <c r="B21" s="15">
        <v>63995.5</v>
      </c>
    </row>
    <row r="22" spans="1:2" x14ac:dyDescent="0.35">
      <c r="A22" s="3">
        <v>18</v>
      </c>
      <c r="B22" s="15">
        <v>47001</v>
      </c>
    </row>
    <row r="23" spans="1:2" x14ac:dyDescent="0.35">
      <c r="A23" s="3">
        <v>19</v>
      </c>
      <c r="B23" s="15">
        <v>64397</v>
      </c>
    </row>
    <row r="24" spans="1:2" x14ac:dyDescent="0.35">
      <c r="A24" s="3" t="s">
        <v>724</v>
      </c>
      <c r="B24" s="15">
        <v>69020.684887459807</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9</vt:i4>
      </vt:variant>
    </vt:vector>
  </HeadingPairs>
  <TitlesOfParts>
    <vt:vector size="9" baseType="lpstr">
      <vt:lpstr>HRDataset_raw</vt:lpstr>
      <vt:lpstr>HRDataset_clean</vt:lpstr>
      <vt:lpstr>Turnover_by_department</vt:lpstr>
      <vt:lpstr>Turnover_by_gender</vt:lpstr>
      <vt:lpstr>Turnover_by_experience</vt:lpstr>
      <vt:lpstr>Salary_by_gender</vt:lpstr>
      <vt:lpstr>Salary_by_department</vt:lpstr>
      <vt:lpstr>Salary_by_age</vt:lpstr>
      <vt:lpstr>Salary_by_experience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2025-12-11T15:40:28Z</dcterms:modified>
</cp:coreProperties>
</file>
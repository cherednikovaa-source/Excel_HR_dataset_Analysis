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8beb163ab15076dd/Desktop/"/>
    </mc:Choice>
  </mc:AlternateContent>
  <xr:revisionPtr revIDLastSave="1518" documentId="8_{1E6F348B-99C9-4E4D-B190-90CFADF3FA63}" xr6:coauthVersionLast="47" xr6:coauthVersionMax="47" xr10:uidLastSave="{13796FF1-1DC4-4145-891D-1ADB75FF0C3C}"/>
  <bookViews>
    <workbookView xWindow="-110" yWindow="-110" windowWidth="19420" windowHeight="10300" firstSheet="7" activeTab="10" xr2:uid="{5D044F8E-927F-447A-A22D-B78F8FF00805}"/>
  </bookViews>
  <sheets>
    <sheet name="HRDataset_raw" sheetId="1" r:id="rId1"/>
    <sheet name="HRDataset_clean" sheetId="2" r:id="rId2"/>
    <sheet name="Turnover_by_department" sheetId="5" r:id="rId3"/>
    <sheet name="Turnover_by_gender" sheetId="6" r:id="rId4"/>
    <sheet name="Turnover_by_experience" sheetId="7" r:id="rId5"/>
    <sheet name="Salary_by_gender" sheetId="8" r:id="rId6"/>
    <sheet name="Salary_by_department" sheetId="9" r:id="rId7"/>
    <sheet name="Salary_by_age" sheetId="10" r:id="rId8"/>
    <sheet name="Salary_by_experience" sheetId="11" r:id="rId9"/>
    <sheet name="Dashboard" sheetId="12" r:id="rId10"/>
    <sheet name="Conclusions" sheetId="13" r:id="rId11"/>
  </sheets>
  <definedNames>
    <definedName name="ExternalData_1" localSheetId="1" hidden="1">HRDataset_clean!$A$1:$N$312</definedName>
    <definedName name="Роздільник_Department">#N/A</definedName>
    <definedName name="Роздільник_Sex">#N/A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2" l="1"/>
  <c r="R4" i="12"/>
  <c r="B30" i="5"/>
  <c r="A30" i="5"/>
  <c r="B4" i="12"/>
  <c r="C6" i="8"/>
  <c r="C5" i="8" a="1"/>
  <c r="C5" i="8" s="1"/>
  <c r="C4" i="8" a="1"/>
  <c r="C4" i="8" s="1"/>
  <c r="L313"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D313" i="2"/>
  <c r="N313" i="2"/>
  <c r="P313" i="2" l="1"/>
  <c r="N4" i="12" s="1"/>
  <c r="O313" i="2"/>
  <c r="J4"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D27E38-1900-4F97-B0BC-BA4133390E50}" keepAlive="1" name="Запит – HRDataset_raw" description="Підключення до запита &quot;HRDataset_raw&quot; у книзі." type="5" refreshedVersion="8" background="1" saveData="1">
    <dbPr connection="Provider=Microsoft.Mashup.OleDb.1;Data Source=$Workbook$;Location=HRDataset_raw;Extended Properties=&quot;&quot;" command="SELECT * FROM [HRDataset_ra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<sst xmlns="http://schemas.openxmlformats.org/spreadsheetml/2006/main" count="2899" uniqueCount="751">
  <si>
    <t>Employee_Name,EmpID,MarriedID,MaritalStatusID,GenderID,EmpStatusID,DeptID,PerfScoreID,FromDiversityJobFairID,Salary,Termd,PositionID,Position,State,Zip,DOB,Sex,MaritalDesc,CitizenDesc,HispanicLatino,RaceDesc,DateofHire,DateofTermination,TermReason,EmploymentStatus,Department,ManagerName,ManagerID,RecruitmentSource,PerformanceScore,EngagementSurvey,EmpSatisfaction,SpecialProjectsCount,LastPerformanceReview_Date,DaysLateLast30,Absences</t>
  </si>
  <si>
    <t>Adinolfi, Wilson  K,10026,0,0,1,1,5,4,0,62506,0,19,Production Technician I,MA,01960,07/10/83,M ,Single,US Citizen,No,White,7/5/2011,,N/A-StillEmployed,Active,Production       ,Michael Albert,22,LinkedIn,Exceeds,4.60,5,0,1/17/2019,0,1</t>
  </si>
  <si>
    <t>Ait Sidi, Karthikeyan   ,10084,1,1,1,5,3,3,0,104437,1,27,Sr. DBA,MA,02148,05/05/75,M ,Married,US Citizen,No,White,3/30/2015,6/16/2016,career change,Voluntarily Terminated,IT/IS,Simon Roup,4,Indeed,Fully Meets,4.96,3,6,2/24/2016,0,17</t>
  </si>
  <si>
    <t>Akinkuolie, Sarah,10196,1,1,0,5,5,3,0,64955,1,20,Production Technician II,MA,01810,09/19/88,F,Married,US Citizen,No,White,7/5/2011,9/24/2012,hours,Voluntarily Terminated,Production       ,Kissy Sullivan,20,LinkedIn,Fully Meets,3.02,3,0,5/15/2012,0,3</t>
  </si>
  <si>
    <t>Alagbe,Trina,10088,1,1,0,1,5,3,0,64991,0,19,Production Technician I,MA,01886,09/27/88,F,Married,US Citizen,No,White,1/7/2008,,N/A-StillEmployed,Active,Production       ,Elijiah Gray,16,Indeed,Fully Meets,4.84,5,0,1/3/2019,0,15</t>
  </si>
  <si>
    <t>Anderson, Carol ,10069,0,2,0,5,5,3,0,50825,1,19,Production Technician I,MA,02169,09/08/89,F,Divorced,US Citizen,No,White,7/11/2011,9/6/2016,return to school,Voluntarily Terminated,Production       ,Webster Butler,39,Google Search,Fully Meets,5.00,4,0,2/1/2016,0,2</t>
  </si>
  <si>
    <t>Anderson, Linda  ,10002,0,0,0,1,5,4,0,57568,0,19,Production Technician I,MA,01844,05/22/77,F,Single,US Citizen,No,White,1/9/2012,,N/A-StillEmployed,Active,Production       ,Amy Dunn,11,LinkedIn,Exceeds,5.00,5,0,1/7/2019,0,15</t>
  </si>
  <si>
    <t>Andreola, Colby,10194,0,0,0,1,4,3,0,95660,0,24,Software Engineer,MA,02110,05/24/79,F,Single,US Citizen,No,White,11/10/2014,,N/A-StillEmployed,Active,Software Engineering,Alex Sweetwater,10,LinkedIn,Fully Meets,3.04,3,4,1/2/2019,0,19</t>
  </si>
  <si>
    <t>Athwal, Sam,10062,0,4,1,1,5,3,0,59365,0,19,Production Technician I,MA,02199,02/18/83,M ,Widowed,US Citizen,No,White,9/30/2013,,N/A-StillEmployed,Active,Production       ,Ketsia Liebig,19,Employee Referral,Fully Meets,5.00,4,0,2/25/2019,0,19</t>
  </si>
  <si>
    <t>Bachiochi, Linda,10114,0,0,0,3,5,3,1,47837,0,19,Production Technician I,MA,01902,02/11/70,F,Single,US Citizen,No,Black or African American,7/6/2009,,N/A-StillEmployed,Active,Production       ,Brannon Miller,12,Diversity Job Fair,Fully Meets,4.46,3,0,1/25/2019,0,4</t>
  </si>
  <si>
    <t>Bacong, Alejandro ,10250,0,2,1,1,3,3,0,50178,0,14,IT Support,MA,01886,01/07/88,M ,Divorced,US Citizen,No,White,1/5/2015,,N/A-StillEmployed,Active,IT/IS,Peter Monroe,7,Indeed,Fully Meets,5.00,5,6,2/18/2019,0,16</t>
  </si>
  <si>
    <t>Baczenski, Rachael  ,10252,1,1,0,5,5,3,1,54670,1,19,Production Technician I,MA,01902,01/12/74,F,Married,US Citizen,Yes,Black or African American,1/10/2011,1/12/2017,Another position,Voluntarily Terminated,Production       ,David Stanley,14,Diversity Job Fair,Fully Meets,4.20,4,0,1/30/2016,0,12</t>
  </si>
  <si>
    <t>Barbara, Thomas,10242,1,1,1,5,5,3,1,47211,1,19,Production Technician I,MA,02062,02/21/74,M ,Married,US Citizen,Yes,Black or African American,4/2/2012,9/19/2016,unhappy,Voluntarily Terminated,Production       ,Kissy Sullivan,20,Diversity Job Fair,Fully Meets,4.20,3,0,5/6/2016,0,15</t>
  </si>
  <si>
    <t>Barbossa, Hector,10012,0,2,1,1,3,4,1,92328,0,9,Data Analyst,TX,78230,07/04/88,M ,Divorced,US Citizen,No,Black or African American,11/10/2014,,N/A-StillEmployed,Active,IT/IS,Simon Roup,4,Diversity Job Fair,Exceeds,4.28,4,5,2/25/2019,0,9</t>
  </si>
  <si>
    <t>Barone, Francesco  A,10265,0,0,1,1,5,3,0,58709,0,19,Production Technician I,MA,01810,07/20/83,M ,Single,US Citizen,No,Two or more races,2/20/2012,,N/A-StillEmployed,Active,Production       ,Kelley Spirea,18,Google Search,Fully Meets,4.60,4,0,2/14/2019,0,7</t>
  </si>
  <si>
    <t>Barton, Nader,10066,0,2,1,5,5,3,0,52505,1,19,Production Technician I,MA,02747,07/15/77,M ,Divorced,US Citizen,No,White,9/24/2012,4/6/2017,Another position,Voluntarily Terminated,Production       ,Michael Albert,22,On-line Web application,Fully Meets,5.00,5,0,3/2/2017,0,1</t>
  </si>
  <si>
    <t>Bates, Norman,10061,0,0,1,4,5,3,0,57834,1,19,Production Technician I,MA,02050,10/18/81,M ,Single,US Citizen,No,White,2/21/2011,8/4/2017,attendance,Terminated for Cause,Production       ,Kelley Spirea,18,Google Search,Fully Meets,5.00,4,0,4/5/2017,0,20</t>
  </si>
  <si>
    <t>Beak, Kimberly  ,10023,1,1,0,2,5,4,0,70131,0,20,Production Technician II,MA,02145,04/17/66,F,Married,US Citizen,No,White,7/21/2016,,N/A-StillEmployed,Active,Production       ,Kelley Spirea,18,Employee Referral,Exceeds,4.40,3,0,1/14/2019,0,16</t>
  </si>
  <si>
    <t>Beatrice, Courtney ,10055,0,0,0,1,5,3,0,59026,0,19,Production Technician I,MA,01915,10/27/70,F,Single,Eligible NonCitizen,No,White,4/4/2011,,N/A-StillEmployed,Active,Production       ,Elijiah Gray,16,Google Search,Fully Meets,5.00,5,0,1/14/2019,0,12</t>
  </si>
  <si>
    <t>Becker, Renee,10245,0,0,0,4,3,3,0,110000,1,8,Database Administrator,MA,02026,04/04/86,F,Single,US Citizen,Yes,White,7/7/2014,9/12/2015,performance,Terminated for Cause,IT/IS,Simon Roup,4,Google Search,Fully Meets,4.50,4,5,1/15/2015,0,8</t>
  </si>
  <si>
    <t>Becker, Scott,10277,0,0,1,3,5,3,0,53250,0,19,Production Technician I,MA,02452,04/06/79,M ,Single,US Citizen,No,Asian,7/8/2013,,N/A-StillEmployed,Active,Production       ,Webster Butler,,LinkedIn,Fully Meets,4.20,4,0,1/11/2019,0,13</t>
  </si>
  <si>
    <t>Bernstein, Sean,10046,0,0,1,1,5,3,0,51044,0,19,Production Technician I,MA,02072,12/22/70,M ,Single,US Citizen,Yes,White,4/2/2012,,N/A-StillEmployed,Active,Production       ,Amy Dunn,11,Google Search,Fully Meets,5.00,3,0,1/14/2019,0,13</t>
  </si>
  <si>
    <t>Biden, Lowan  M,10226,0,2,0,1,5,3,0,64919,0,19,Production Technician I,MA,02027,12/27/58,F,Divorced,US Citizen,No,Asian,8/19/2013,,N/A-StillEmployed,Active,Production       ,Ketsia Liebig,19,Indeed,Fully Meets,4.20,3,0,1/10/2019,0,2</t>
  </si>
  <si>
    <t>Billis, Helen,10003,1,1,0,1,5,4,0,62910,0,19,Production Technician I,MA,02031,09/01/89,F,Married,US Citizen,No,White,7/7/2014,,N/A-StillEmployed,Active,Production       ,Brannon Miller,12,Indeed,Exceeds,5.00,3,0,2/27/2019,0,19</t>
  </si>
  <si>
    <t>Blount, Dianna,10294,0,0,0,1,5,2,0,66441,0,20,Production Technician II,MA,02171,09/21/90,F,Single,US Citizen,No,White,4/4/2011,,N/A-StillEmployed,Active,Production       ,Michael Albert,22,CareerBuilder,Needs Improvement,2.00,3,0,2/27/2019,2,3</t>
  </si>
  <si>
    <t>Bondwell, Betsy,10267,0,0,0,5,5,3,0,57815,1,20,Production Technician II,MA,02210,01/16/67,F,Single,US Citizen,No,White,1/10/2011,4/4/2014,career change,Voluntarily Terminated,Production       ,Elijiah Gray,16,Google Search,Fully Meets,4.80,5,0,3/4/2014,0,5</t>
  </si>
  <si>
    <t>Booth, Frank,10199,0,0,1,4,3,3,0,103613,1,30,Enterprise Architect,CT,06033,07/30/64,M ,Single,US Citizen,No,Black or African American,2/17/2014,2/19/2016,Learned that he is a gangster,Terminated for Cause,IT/IS,Simon Roup,4,LinkedIn,Fully Meets,3.50,5,7,1/10/2016,0,2</t>
  </si>
  <si>
    <t>Boutwell, Bonalyn,10081,1,1,0,1,1,3,1,106367,0,26,Sr. Accountant,MA,02468,04/04/87,F,Married,US Citizen,No,Black or African American,2/16/2015,,N/A-StillEmployed,Active,Admin Offices,Brandon R. LeBlanc,3,Diversity Job Fair,Fully Meets,5.00,4,3,2/18/2019,0,4</t>
  </si>
  <si>
    <t>Bozzi, Charles,10175,0,0,1,5,5,3,0,74312,1,18,Production Manager,MA,01901,03/10/70,M ,Single,US Citizen,No,Asian,9/30/2013,8/7/2014,retiring,Voluntarily Terminated,Production       ,Janet King,2,Indeed,Fully Meets,3.39,3,0,2/20/2014,0,14</t>
  </si>
  <si>
    <t>Brill, Donna,10177,1,1,0,5,5,3,0,53492,1,19,Production Technician I,MA,01701,08/24/90,F,Married,US Citizen,No,White,4/2/2012,6/15/2013,Another position,Voluntarily Terminated,Production       ,David Stanley,14,Google Search,Fully Meets,3.35,4,0,3/4/2013,0,6</t>
  </si>
  <si>
    <t>Brown, Mia,10238,1,1,0,1,1,3,1,63000,0,1,Accountant I,MA,01450,11/24/87,F,Married,US Citizen,No,Black or African American,10/27/2008,,N/A-StillEmployed,Active,Admin Offices,Brandon R. LeBlanc,1,Diversity Job Fair,Fully Meets,4.50,2,6,1/15/2019,0,14</t>
  </si>
  <si>
    <t>Buccheri, Joseph  ,10184,0,0,1,1,5,3,0,65288,0,20,Production Technician II,MA,01013,07/28/83,M ,Single,US Citizen,No,White,9/29/2014,,N/A-StillEmployed,Active,Production       ,Webster Butler,,Google Search,Fully Meets,3.19,3,0,2/1/2019,0,9</t>
  </si>
  <si>
    <t>Bugali, Josephine ,10203,0,3,0,3,5,3,1,64375,0,19,Production Technician I,MA,02043,10/30/69,F,Separated,US Citizen,No,Black or African American,11/11/2013,,N/A-StillEmployed,Active,Production       ,Kissy Sullivan,20,Diversity Job Fair,Fully Meets,3.50,5,0,1/21/2019,0,17</t>
  </si>
  <si>
    <t>Bunbury, Jessica,10188,1,1,0,5,6,3,0,74326,1,3,Area Sales Manager,VA,21851,06/01/64,F,Married,Eligible NonCitizen,No,Black or African American,8/15/2011,8/2/2014,Another position,Voluntarily Terminated,Sales,John Smith,17,Google Search,Fully Meets,3.14,5,0,2/10/2013,1,19</t>
  </si>
  <si>
    <t>Burke, Joelle,10107,0,0,0,1,5,3,0,63763,0,20,Production Technician II,MA,02148,03/02/80,F,Single,US Citizen,No,Black or African American,3/5/2012,,N/A-StillEmployed,Active,Production       ,Amy Dunn,11,Employee Referral,Fully Meets,4.51,4,0,2/21/2019,0,3</t>
  </si>
  <si>
    <t>Burkett, Benjamin ,10181,1,1,1,1,5,3,0,62162,0,20,Production Technician II,MA,01890,08/19/77,M ,Married,US Citizen,No,White,4/4/2011,,N/A-StillEmployed,Active,Production       ,Ketsia Liebig,19,Indeed,Fully Meets,3.25,5,0,1/14/2019,0,15</t>
  </si>
  <si>
    <t>Cady, Max ,10150,0,0,1,1,4,3,0,77692,0,25,Software Engineering Manager,MA,02184,11/22/66,M ,Single,US Citizen,No,White,8/15/2011,,N/A-StillEmployed,Active,Software Engineering,Jennifer Zamora,5,Google Search,Fully Meets,3.84,3,5,1/21/2019,0,4</t>
  </si>
  <si>
    <t>Candie, Calvin,10001,0,0,1,1,5,4,0,72640,0,18,Production Manager,MA,02169,08/09/83,M ,Single,US Citizen,No,White,1/28/2016,,N/A-StillEmployed,Active,Production       ,Janet King,2,Indeed,Exceeds,5.00,3,0,2/22/2019,0,14</t>
  </si>
  <si>
    <t>Carabbio, Judith,10085,0,0,0,1,4,3,0,93396,0,24,Software Engineer,MA,02132,04/05/87,F,Single,US Citizen,No,White,11/11/2013,,N/A-StillEmployed,Active,Software Engineering,Alex Sweetwater,10,Indeed,Fully Meets,4.96,4,6,1/30/2019,0,3</t>
  </si>
  <si>
    <t>Carey, Michael  ,10115,0,0,1,1,5,3,0,52846,0,19,Production Technician I,MA,01701,02/02/83,M ,Single,US Citizen,No,Black or African American,3/31/2014,,N/A-StillEmployed,Active,Production       ,Kelley Spirea,18,LinkedIn,Fully Meets,4.43,3,0,2/1/2019,0,14</t>
  </si>
  <si>
    <t>Carr, Claudia  N,10082,0,0,0,2,3,3,0,100031,0,27,Sr. DBA,MA,01886,06/06/86,F,Single,US Citizen,No,Black or African American,6/30/2016,,N/A-StillEmployed,Active,IT/IS,Simon Roup,4,LinkedIn,Fully Meets,5.00,5,6,2/18/2019,0,7</t>
  </si>
  <si>
    <t>Carter, Michelle ,10040,0,0,0,1,6,3,0,71860,0,3,Area Sales Manager,VT,05664,05/15/63,F,Single,US Citizen,No,White,8/18/2014,,N/A-StillEmployed,Active,Sales,John Smith,17,Indeed,Fully Meets,5.00,5,0,1/21/2019,0,7</t>
  </si>
  <si>
    <t>Chace, Beatrice ,10067,0,0,0,1,5,3,0,61656,0,19,Production Technician I,MA,02763,01/02/51,F,Single,US Citizen,No,White,9/29/2014,,N/A-StillEmployed,Active,Production       ,Michael Albert,22,Google Search,Fully Meets,5.00,4,0,2/12/2019,0,11</t>
  </si>
  <si>
    <t>Champaigne, Brian,10108,1,1,1,1,3,3,0,110929,0,5,BI Director,MA,02045,02/09/72,M ,Married,US Citizen,No,White,9/6/2016,,N/A-StillEmployed,Active,IT/IS,Jennifer Zamora,5,Indeed,Fully Meets,4.50,5,7,1/15/2019,0,8</t>
  </si>
  <si>
    <t>Chan, Lin,10210,0,0,0,1,5,3,0,54237,0,19,Production Technician I,MA,02170,02/12/79,F,Single,US Citizen,No,White,5/12/2014,,N/A-StillEmployed,Active,Production       ,Elijiah Gray,16,Indeed,Fully Meets,3.30,4,0,2/19/2019,0,11</t>
  </si>
  <si>
    <t>Chang, Donovan  E,10154,0,0,1,1,5,3,0,60380,0,19,Production Technician I,MA,01845,08/24/83,M ,Single,US Citizen,No,White,7/8/2013,,N/A-StillEmployed,Active,Production       ,Webster Butler,,LinkedIn,Fully Meets,3.80,5,0,1/14/2019,0,4</t>
  </si>
  <si>
    <t>Chigurh, Anton,10200,0,0,1,1,6,3,0,66808,0,3,Area Sales Manager,TX,78207,06/11/70,M ,Single,Eligible NonCitizen,No,Black or African American,5/14/2012,,N/A-StillEmployed,Active,Sales,Lynn Daneault,21,Employee Referral,Fully Meets,3.00,5,0,1/19/2019,0,17</t>
  </si>
  <si>
    <t>Chivukula, Enola,10240,0,0,0,5,5,3,0,64786,1,19,Production Technician I,MA,01775,08/27/83,F,Single,US Citizen,No,White,6/27/2011,11/15/2015,relocation out of area,Voluntarily Terminated,Production       ,Amy Dunn,11,Indeed,Fully Meets,4.30,4,0,3/10/2015,0,3</t>
  </si>
  <si>
    <t>Cierpiszewski, Caroline  ,10168,0,0,0,1,5,3,0,64816,0,19,Production Technician I,MA,02044,05/31/88,F,Single,Non-Citizen,No,Black or African American,10/3/2011,,N/A-StillEmployed,Active,Production       ,Ketsia Liebig,19,Indeed,Fully Meets,3.58,5,0,1/30/2019,0,3</t>
  </si>
  <si>
    <t>Clayton, Rick,10220,0,0,1,1,3,3,0,68678,0,14,IT Support,MA,02170,09/05/85,M ,Single,US Citizen,No,White,9/5/2012,,N/A-StillEmployed,Active,IT/IS,Eric Dougall,6,Indeed,Fully Meets,4.70,3,6,2/27/2019,0,2</t>
  </si>
  <si>
    <t>Cloninger, Jennifer,10275,1,1,0,5,5,3,0,64066,1,20,Production Technician II,MA,01752,08/31/81,F,Married,US Citizen,No,White,5/16/2011,1/7/2013,unhappy,Voluntarily Terminated,Production       ,Brannon Miller,12,Google Search,Fully Meets,4.20,5,0,5/3/2012,0,9</t>
  </si>
  <si>
    <t>Close, Phil,10269,1,1,1,5,5,3,0,59369,1,20,Production Technician II,MA,02169,11/25/78,M ,Married,US Citizen,No,White,8/30/2010,9/26/2011,career change,Voluntarily Terminated,Production       ,David Stanley,14,Indeed,Fully Meets,4.20,4,0,5/4/2011,0,6</t>
  </si>
  <si>
    <t>Clukey, Elijian,10029,1,1,1,2,5,4,0,50373,0,19,Production Technician I,MA,02134,08/26/80,M ,Married,US Citizen,No,White,7/6/2016,,N/A-StillEmployed,Active,Production       ,Brannon Miller,12,Employee Referral,Exceeds,4.10,4,0,2/28/2019,0,5</t>
  </si>
  <si>
    <t>Cockel, James,10261,0,0,1,1,5,3,0,63108,0,19,Production Technician I,MA,02452,09/08/77,M ,Single,US Citizen,No,White,7/8/2013,,N/A-StillEmployed,Active,Production       ,David Stanley,14,Employee Referral,Fully Meets,4.40,5,0,1/14/2019,0,3</t>
  </si>
  <si>
    <t>Cole, Spencer,10292,0,0,1,4,5,2,0,59144,1,19,Production Technician I,MA,01880,08/12/79,M ,Single,US Citizen,No,Black or African American,7/11/2011,9/23/2016,performance,Terminated for Cause,Production       ,Kissy Sullivan,20,LinkedIn,Needs Improvement,2.00,3,0,5/1/2016,5,16</t>
  </si>
  <si>
    <t>Corleone, Michael,10282,0,2,1,1,5,2,0,68051,0,18,Production Manager,MA,01803,12/17/75,M ,Divorced,US Citizen,No,White,7/20/2010,,N/A-StillEmployed,Active,Production       ,Janet King,2,CareerBuilder,Needs Improvement,4.13,2,0,1/14/2019,3,3</t>
  </si>
  <si>
    <t>Corleone, Vito,10019,0,0,1,1,5,4,0,170500,0,10,Director of Operations,MA,02030,03/19/83,M ,Single,US Citizen,No,Black or African American,1/5/2009,,N/A-StillEmployed,Active,Production       ,Janet King,2,Indeed,Exceeds,3.70,5,0,2/4/2019,0,15</t>
  </si>
  <si>
    <t>Cornett, Lisa ,10094,1,1,0,1,5,3,0,63381,0,19,Production Technician I,MA,02189,03/31/77,F,Married,US Citizen,Yes,White,1/5/2015,,N/A-StillEmployed,Active,Production       ,Kelley Spirea,18,Indeed,Fully Meets,4.73,5,0,2/14/2019,0,6</t>
  </si>
  <si>
    <t>Costello, Frank,10193,1,1,1,1,3,3,0,83552,0,9,Data Analyst,MA,01810,08/26/86,M ,Married,US Citizen,No,White,3/30/2015,,N/A-StillEmployed,Active,IT/IS,Simon Roup,4,Indeed,Fully Meets,3.04,3,6,1/22/2019,0,2</t>
  </si>
  <si>
    <t>Crimmings,   Jean,10132,0,0,0,2,5,3,0,56149,0,19,Production Technician I,MA,01821,04/10/87,F,Single,US Citizen,No,White,7/6/2016,,N/A-StillEmployed,Active,Production       ,Michael Albert,22,LinkedIn,Fully Meets,4.12,5,0,1/28/2019,0,15</t>
  </si>
  <si>
    <t>Cross, Noah,10083,0,0,1,1,3,3,0,92329,0,28,Sr. Network Engineer,CT,06278,09/09/65,M ,Single,US Citizen,No,White,11/10/2014,,N/A-StillEmployed,Active,IT/IS,Peter Monroe,7,Employee Referral,Fully Meets,5.00,3,4,1/2/2019,0,5</t>
  </si>
  <si>
    <t>Daneault, Lynn,10099,0,0,0,1,6,3,0,65729,0,21,Sales Manager,VT,05473,04/19/90,F,Single,US Citizen,No,White,5/5/2014,,N/A-StillEmployed,Active,Sales,Debra Houlihan,15,Indeed,Fully Meets,4.62,4,0,1/24/2019,0,8</t>
  </si>
  <si>
    <t>Daniele, Ann  ,10212,1,1,0,3,3,3,0,85028,0,28,Sr. Network Engineer,CT,06033,01/18/52,F,Married,US Citizen,No,White,11/10/2014,,N/A-StillEmployed,Active,IT/IS,Peter Monroe,7,LinkedIn,Fully Meets,3.10,5,8,2/12/2019,0,19</t>
  </si>
  <si>
    <t>Darson, Jene'ya ,10056,1,1,0,1,5,3,0,57583,0,19,Production Technician I,MA,02110,11/05/78,F,Married,US Citizen,No,White,7/2/2012,,N/A-StillEmployed,Active,Production       ,Elijiah Gray,16,Indeed,Fully Meets,5.00,3,0,2/25/2019,0,1</t>
  </si>
  <si>
    <t>Davis, Daniel,10143,0,0,1,1,5,3,0,56294,0,20,Production Technician II,MA,02458,09/14/79,M ,Single,Eligible NonCitizen,No,Two or more races,11/7/2011,,N/A-StillEmployed,Active,Production       ,Kissy Sullivan,20,LinkedIn,Fully Meets,3.96,4,0,2/27/2019,0,6</t>
  </si>
  <si>
    <t>Dee, Randy,10311,1,1,1,1,6,1,0,56991,0,19,Production Technician I,MA,02138,04/15/88,M ,Married,US Citizen,No,White,7/9/2018,,N/A-StillEmployed,Active,Production       ,Brannon Miller,12,Indeed,Fully Meets,4.3,4,3,1/31/2019,2,2</t>
  </si>
  <si>
    <t>DeGweck,  James,10070,1,1,1,5,5,3,0,55722,1,19,Production Technician I,MA,01810,10/31/77,M ,Married,US Citizen,No,White,5/16/2011,6/8/2016,unhappy,Voluntarily Terminated,Production       ,Webster Butler,39,Indeed,Fully Meets,5.00,4,0,4/2/2016,0,14</t>
  </si>
  <si>
    <t>Del Bosque, Keyla,10155,0,0,0,1,4,3,0,101199,0,24,Software Engineer,MA,02176,07/05/79,F,Single,US Citizen,No,Black or African American,1/9/2012,,N/A-StillEmployed,Active,Software Engineering,Alex Sweetwater,10,CareerBuilder,Fully Meets,3.79,5,5,1/25/2019,0,8</t>
  </si>
  <si>
    <t>Delarge, Alex,10306,0,0,1,1,6,1,0,61568,0,3,Area Sales Manager,AL,36006,11/02/75,M ,Single,US Citizen,No,Two or more races,9/29/2014,,N/A-StillEmployed,Active,Sales,John Smith,17,Indeed,PIP,1.93,3,0,1/30/2019,6,5</t>
  </si>
  <si>
    <t>Demita, Carla,10100,0,3,0,5,5,3,0,58275,1,20,Production Technician II,MA,02343,02/25/51,F,Separated,US Citizen,No,Black or African American,4/4/2011,11/4/2015,more money,Voluntarily Terminated,Production       ,Kelley Spirea,18,Google Search,Fully Meets,4.62,5,0,5/6/2015,0,1</t>
  </si>
  <si>
    <t>Desimone, Carl ,10310,1,1,1,1,5,1,0,53189,0,19,Production Technician I,MA,02061,04/19/67,M ,Married,US Citizen,No,White,7/7/2014,,N/A-StillEmployed,Active,Production       ,Amy Dunn,11,Indeed,PIP,1.12,2,0,1/31/2019,4,9</t>
  </si>
  <si>
    <t>DeVito, Tommy,10197,0,0,1,1,3,3,0,96820,0,4,BI Developer,MA,02045,09/04/83,M ,Single,US Citizen,No,White,2/15/2017,,N/A-StillEmployed,Active,IT/IS,Brian Champaigne,13,Indeed,Fully Meets,3.01,5,7,1/23/2019,0,15</t>
  </si>
  <si>
    <t>Dickinson, Geoff ,10276,0,0,1,1,5,3,0,51259,0,19,Production Technician I,MA,02180,11/15/82,M ,Single,US Citizen,No,White,5/12/2014,,N/A-StillEmployed,Active,Production       ,Ketsia Liebig,19,Indeed,Fully Meets,4.30,4,0,2/19/2019,0,1</t>
  </si>
  <si>
    <t>Dietrich, Jenna  ,10304,0,0,0,1,6,1,0,59231,0,3,Area Sales Manager,WA,98052,05/14/87,F,Single,US Citizen,Yes,White,2/20/2012,,N/A-StillEmployed,Active,Sales,John Smith,17,Website,PIP,2.30,1,0,1/29/2019,2,17</t>
  </si>
  <si>
    <t>DiNocco, Lily ,10284,1,1,0,1,5,2,0,61584,0,19,Production Technician I,MA,02351,12/02/78,F,Married,US Citizen,No,Black or African American,1/7/2013,,N/A-StillEmployed,Active,Production       ,Brannon Miller,12,Indeed,Needs Improvement,3.88,4,0,1/18/2019,0,6</t>
  </si>
  <si>
    <t>Dobrin, Denisa  S,10207,0,0,0,1,5,3,0,46335,0,19,Production Technician I,MA,02125,10/07/86,F,Single,US Citizen,Yes,White,4/2/2012,,N/A-StillEmployed,Active,Production       ,David Stanley,14,CareerBuilder,Fully Meets,3.40,5,0,2/19/2019,0,15</t>
  </si>
  <si>
    <t>Dolan, Linda,10133,1,1,0,1,3,3,0,70621,0,14,IT Support,MA,02119,07/18/88,F,Married,US Citizen,No,White,1/5/2015,,N/A-StillEmployed,Active,IT/IS,Peter Monroe,7,Employee Referral,Fully Meets,4.11,4,6,2/25/2019,0,16</t>
  </si>
  <si>
    <t>Dougall, Eric,10028,0,0,1,1,3,4,0,138888,0,13,IT Manager - Support,MA,01886,07/09/70,M ,Single,US Citizen,No,Black or African American,1/5/2014,,N/A-StillEmployed,Active,IT/IS,Jennifer Zamora,5,Indeed,Exceeds,4.30,5,5,1/4/2019,0,4</t>
  </si>
  <si>
    <t>Driver, Elle,10006,0,0,0,1,6,4,0,74241,0,3,Area Sales Manager,CA,90007,11/08/88,F,Single,US Citizen,No,White,1/10/2011,,N/A-StillEmployed,Active,Sales,Lynn Daneault,21,Indeed,Exceeds,4.77,5,0,1/27/2019,0,14</t>
  </si>
  <si>
    <t>Dunn, Amy  ,10105,0,0,0,1,5,3,0,75188,0,18,Production Manager,MA,01731,11/28/73,F,Single,US Citizen,No,White,9/18/2014,,N/A-StillEmployed,Active,Production       ,Janet King,2,Google Search,Fully Meets,4.52,4,0,1/15/2019,0,4</t>
  </si>
  <si>
    <t>Dunne, Amy,10211,1,1,0,1,5,3,0,62514,0,19,Production Technician I,MA,01749,09/23/73,F,Married,US Citizen,No,White,4/26/2010,,N/A-StillEmployed,Active,Production       ,Ketsia Liebig,19,Google Search,Fully Meets,2.90,3,0,1/21/2019,0,6</t>
  </si>
  <si>
    <t>Eaton, Marianne,10064,1,1,0,5,5,3,0,60070,1,19,Production Technician I,MA,02343,09/05/91,F,Married,US Citizen,No,White,4/4/2011,6/6/2017,military,Voluntarily Terminated,Production       ,Kissy Sullivan,20,Google Search,Fully Meets,5.00,3,0,4/9/2017,0,7</t>
  </si>
  <si>
    <t>Engdahl, Jean,10247,0,0,1,1,5,3,0,48888,0,19,Production Technician I,MA,02026,05/31/74,M ,Single,US Citizen,No,White,11/10/2014,,N/A-StillEmployed,Active,Production       ,Kelley Spirea,18,LinkedIn,Fully Meets,4.70,5,0,2/13/2019,0,8</t>
  </si>
  <si>
    <t>England, Rex,10235,1,1,1,1,5,3,0,54285,0,19,Production Technician I,MA,02045,08/25/78,M ,Married,US Citizen,No,White,3/31/2014,,N/A-StillEmployed,Active,Production       ,Kelley Spirea,18,Employee Referral,Fully Meets,4.20,3,0,1/11/2019,0,3</t>
  </si>
  <si>
    <t>Erilus, Angela,10299,0,3,0,1,5,1,0,56847,0,20,Production Technician II,MA,02133,08/25/89,F,Separated,US Citizen,No,White,7/7/2014,,N/A-StillEmployed,Active,Production       ,Michael Albert,22,Indeed,PIP,3.00,1,0,2/25/2019,2,5</t>
  </si>
  <si>
    <t>Estremera, Miguel,10280,0,0,1,4,5,2,0,60340,1,19,Production Technician I,MA,02129,09/02/83,M ,Single,US Citizen,No,White,4/2/2012,9/27/2018,attendance,Terminated for Cause,Production       ,Michael Albert,22,Google Search,Needs Improvement,5.00,4,0,4/12/2018,5,16</t>
  </si>
  <si>
    <t>Evensen, April,10296,0,0,0,4,5,2,0,59124,1,19,Production Technician I,MA,02458,05/06/89,F,Single,US Citizen,No,White,2/17/2014,2/25/2018,"no-call, no-show",Terminated for Cause,Production       ,Elijiah Gray,16,Google Search,Needs Improvement,2.30,3,0,1/15/2017,5,19</t>
  </si>
  <si>
    <t>Exantus, Susan,10290,1,1,0,4,4,2,0,99280,1,24,Software Engineer,MA,01749,05/15/87,F,Married,US Citizen,No,Black or African American,5/2/2011,6/5/2013,attendance,Terminated for Cause,Software Engineering,Alex Sweetwater,10,Indeed,Needs Improvement,2.10,5,4,8/10/2012,4,19</t>
  </si>
  <si>
    <t>Faller, Megan ,10263,1,1,0,1,5,3,0,71776,0,20,Production Technician II,MA,01824,09/22/78,F,Married,US Citizen,No,Black or African American,7/7/2014,,N/A-StillEmployed,Active,Production       ,Elijiah Gray,16,LinkedIn,Fully Meets,4.40,5,0,2/22/2019,0,17</t>
  </si>
  <si>
    <t>Fancett, Nicole,10136,0,0,0,1,5,3,0,65902,0,20,Production Technician II,MA,02324,09/27/87,F,Single,US Citizen,No,Black or African American,2/17/2014,,N/A-StillEmployed,Active,Production       ,Webster Butler,,LinkedIn,Fully Meets,4.00,4,0,1/7/2019,0,7</t>
  </si>
  <si>
    <t>Ferguson, Susan,10189,1,1,0,5,5,3,0,57748,1,19,Production Technician I,MA,02176,04/14/55,F,Married,US Citizen,No,White,11/7/2011,5/17/2016,military,Voluntarily Terminated,Production       ,Webster Butler,39,Google Search,Fully Meets,3.13,3,0,2/4/2016,0,16</t>
  </si>
  <si>
    <t>Fernandes, Nilson  ,10308,1,1,1,1,5,1,0,64057,0,19,Production Technician I,MA,02132,10/18/89,M ,Married,US Citizen,No,White,5/11/2015,,N/A-StillEmployed,Active,Production       ,Amy Dunn,11,Indeed,PIP,1.56,5,0,1/3/2019,6,15</t>
  </si>
  <si>
    <t>Fett, Boba,10309,0,0,1,1,3,1,0,53366,0,15,Network Engineer,MA,02138,06/18/87,M ,Single,US Citizen,No,White,3/30/2015,,N/A-StillEmployed,Active,IT/IS,Peter Monroe,7,LinkedIn,PIP,1.20,3,6,2/4/2019,3,2</t>
  </si>
  <si>
    <t>Fidelia,  Libby,10049,1,1,0,1,5,3,0,58530,0,19,Production Technician I,MA,02155,03/16/81,F,Married,US Citizen,No,White,1/9/2012,,N/A-StillEmployed,Active,Production       ,Brannon Miller,12,Google Search,Fully Meets,5.00,5,0,1/29/2019,0,19</t>
  </si>
  <si>
    <t>Fitzpatrick, Michael  J,10093,0,0,1,5,5,3,0,72609,1,20,Production Technician II,MA,02143,10/01/81,M ,Single,US Citizen,Yes,White,5/16/2011,6/24/2013,hours,Voluntarily Terminated,Production       ,Amy Dunn,11,Google Search,Fully Meets,4.76,5,0,4/5/2013,0,20</t>
  </si>
  <si>
    <t>Foreman, Tanya,10163,1,1,0,5,5,3,0,55965,1,20,Production Technician II,MA,02170,11/08/83,F,Married,US Citizen,No,White,4/4/2011,1/9/2013,career change,Voluntarily Terminated,Production       ,Ketsia Liebig,19,Google Search,Fully Meets,3.66,3,0,1/7/2012,0,6</t>
  </si>
  <si>
    <t>Forrest, Alex,10305,1,1,1,1,6,3,0,70187,1,3,Area Sales Manager,MA,02330,07/07/75,M ,Married,US Citizen,No,White,9/29/2014,8/19/2018,Fatal attraction,Terminated for Cause,Sales,Lynn Daneault,21,Employee Referral,PIP,2.00,5,0,1/28/2019,4,7</t>
  </si>
  <si>
    <t>Foss, Jason,10015,0,0,1,1,3,4,0,178000,0,12,IT Director,MA,01460,07/05/80,M ,Single,US Citizen,No,Black or African American,4/15/2011,,N/A-StillEmployed,Active,IT/IS,Jennifer Zamora,5,Indeed,Exceeds,5.00,5,5,1/7/2019,0,15</t>
  </si>
  <si>
    <t>Foster-Baker, Amy,10080,1,1,0,1,1,3,0,99351,0,26,Sr. Accountant,MA,02050,04/16/79,F,Married,US Citizen,no,White,1/5/2009,,N/A-StillEmployed,Active,Admin Offices,Board of Directors,9,Other,Fully Meets,5.00,3,2,2/8/2019,0,3</t>
  </si>
  <si>
    <t>Fraval, Maruk ,10258,0,0,1,1,6,3,0,67251,0,3,Area Sales Manager,CT,06050,08/28/63,M ,Single,US Citizen,No,Black or African American,9/6/2011,,N/A-StillEmployed,Active,Sales,Lynn Daneault,21,CareerBuilder,Fully Meets,4.30,3,0,1/27/2019,2,7</t>
  </si>
  <si>
    <t>Galia, Lisa,10273,0,0,0,1,3,3,0,65707,0,14,IT Support,CT,06040,07/06/68,F,Single,US Citizen,No,White,5/1/2010,,N/A-StillEmployed,Active,IT/IS,Eric Dougall,6,LinkedIn,Fully Meets,4.70,4,5,2/1/2019,0,1</t>
  </si>
  <si>
    <t>Garcia, Raul,10111,0,0,1,1,5,3,0,52249,0,19,Production Technician I,MA,01905,09/15/85,M ,Single,US Citizen,Yes,White,3/30/2015,,N/A-StillEmployed,Active,Production       ,David Stanley,14,Employee Referral,Fully Meets,4.50,3,0,2/18/2019,0,5</t>
  </si>
  <si>
    <t>Gaul, Barbara,10257,0,0,0,1,5,3,0,53171,0,19,Production Technician I,MA,02121,12/02/83,F,Single,US Citizen,Yes,Black or African American,5/16/2011,,N/A-StillEmployed,Active,Production       ,Kelley Spirea,18,LinkedIn,Fully Meets,4.20,4,0,2/26/2019,0,12</t>
  </si>
  <si>
    <t>Gentry, Mildred,10159,1,1,0,1,5,3,0,51337,0,19,Production Technician I,MA,02145,10/01/90,F,Married,US Citizen,No,Black or African American,3/30/2015,,N/A-StillEmployed,Active,Production       ,Michael Albert,22,LinkedIn,Fully Meets,3.73,3,0,1/16/2019,0,19</t>
  </si>
  <si>
    <t>Gerke, Melisa,10122,0,2,0,5,5,3,1,51505,1,19,Production Technician I,MA,02330,05/15/70,F,Divorced,US Citizen,No,Black or African American,11/7/2011,11/15/2016,hours,Voluntarily Terminated,Production       ,Elijiah Gray,16,Diversity Job Fair,Fully Meets,4.24,4,0,4/29/2016,0,2</t>
  </si>
  <si>
    <t>Gill, Whitney  ,10142,0,4,0,4,6,3,0,59370,1,3,Area Sales Manager,OH,43050,07/10/71,F,Widowed,US Citizen,No,Black or African American,7/7/2014,9/5/2015,attendance,Terminated for Cause,Sales,John Smith,17,CareerBuilder,Fully Meets,3.97,4,0,1/15/2014,0,7</t>
  </si>
  <si>
    <t>Gilles, Alex,10283,1,1,1,5,5,2,1,54933,1,19,Production Technician I,MA,02062,08/09/74,M ,Married,US Citizen,No,Black or African American,4/2/2012,6/25/2015,military,Voluntarily Terminated,Production       ,Webster Butler,39,Diversity Job Fair,Needs Improvement,3.97,4,0,1/20/2015,3,15</t>
  </si>
  <si>
    <t>Girifalco, Evelyn,10018,0,0,0,1,5,4,0,57815,0,19,Production Technician I,MA,02451,05/08/80,F,Single,US Citizen,Yes,Two or more races,9/29/2014,,N/A-StillEmployed,Active,Production       ,Amy Dunn,11,Indeed,Exceeds,3.90,4,0,2/7/2019,0,3</t>
  </si>
  <si>
    <t>Givens, Myriam,10255,0,0,0,1,6,3,0,61555,0,3,Area Sales Manager,IN,46204,09/22/89,F,Single,US Citizen,No,White,2/16/2015,,N/A-StillEmployed,Active,Sales,Lynn Daneault,21,Indeed,Fully Meets,4.50,5,0,1/25/2019,0,20</t>
  </si>
  <si>
    <t>Goble, Taisha,10246,0,0,0,4,3,3,0,114800,1,8,Database Administrator,MA,02127,10/23/71,F,Single,US Citizen,No,White,2/16/2015,3/15/2015,"no-call, no-show",Terminated for Cause,IT/IS,Simon Roup,4,Indeed,Fully Meets,4.60,4,4,1/20/2015,0,10</t>
  </si>
  <si>
    <t>Goeth, Amon,10228,1,1,1,1,3,3,0,74679,0,14,IT Support,MA,02135,11/24/89,M ,Married,US Citizen,Yes,White,3/30/2015,,N/A-StillEmployed,Active,IT/IS,Peter Monroe,7,LinkedIn,Fully Meets,4.30,5,7,1/10/2019,0,20</t>
  </si>
  <si>
    <t>Gold, Shenice  ,10243,0,0,0,1,5,3,0,53018,0,19,Production Technician I,MA,02451,06/18/92,F,Single,US Citizen,Yes,White,11/11/2013,,N/A-StillEmployed,Active,Production       ,Ketsia Liebig,19,Indeed,Fully Meets,4.30,5,0,2/18/2019,0,7</t>
  </si>
  <si>
    <t>Gonzalez, Cayo,10031,0,2,1,1,5,4,1,59892,0,19,Production Technician I,MA,02108,09/29/69,M ,Divorced,US Citizen,No,Black or African American,7/11/2011,,N/A-StillEmployed,Active,Production       ,Brannon Miller,12,Diversity Job Fair,Exceeds,4.50,4,0,2/18/2019,0,1</t>
  </si>
  <si>
    <t>Gonzalez, Juan,10300,1,1,1,5,5,1,1,68898,1,20,Production Technician II,MA,02128,10/12/64,M ,Married,US Citizen,No,Black or African American,4/26/2010,5/30/2011,career change,Voluntarily Terminated,Production       ,Brannon Miller,12,Diversity Job Fair,PIP,3.00,3,0,3/6/2011,3,10</t>
  </si>
  <si>
    <t>Gonzalez, Maria,10101,0,3,0,1,3,3,0,61242,0,14,IT Support,MA,02472,04/16/81,F,Separated,US Citizen,Yes,White,1/5/2015,,N/A-StillEmployed,Active,IT/IS,Peter Monroe,7,Employee Referral,Fully Meets,4.61,4,5,1/28/2019,0,11</t>
  </si>
  <si>
    <t>Good, Susan,10237,1,1,0,3,5,3,0,66825,0,20,Production Technician II,MA,01886,05/25/86,F,Married,US Citizen,No,White,5/12/2014,,N/A-StillEmployed,Active,Production       ,David Stanley,14,LinkedIn,Fully Meets,4.60,3,0,2/7/2019,0,20</t>
  </si>
  <si>
    <t>Gordon, David,10051,1,1,1,1,5,3,0,48285,0,19,Production Technician I,MA,02169,05/21/79,M ,Married,US Citizen,No,White,7/2/2012,,N/A-StillEmployed,Active,Production       ,David Stanley,14,LinkedIn,Fully Meets,5.00,3,0,1/14/2019,0,2</t>
  </si>
  <si>
    <t>Gosciminski, Phylicia  ,10218,0,3,0,3,5,3,0,66149,0,20,Production Technician II,MA,01824,12/08/83,F,Separated,US Citizen,No,American Indian or Alaska Native,9/30/2013,,N/A-StillEmployed,Active,Production       ,Kissy Sullivan,20,Google Search,Fully Meets,4.40,5,0,2/21/2019,0,1</t>
  </si>
  <si>
    <t>Goyal, Roxana,10256,1,1,0,3,5,3,0,49256,0,19,Production Technician I,MA,01864,10/09/74,F,Married,US Citizen,No,Asian,8/19/2013,,N/A-StillEmployed,Active,Production       ,Kissy Sullivan,20,LinkedIn,Fully Meets,4.10,5,0,2/15/2019,0,3</t>
  </si>
  <si>
    <t>Gray, Elijiah  ,10098,0,2,1,1,5,3,0,62957,0,18,Production Manager,MA,01752,07/11/81,M ,Divorced,US Citizen,No,White,6/2/2015,,N/A-StillEmployed,Active,Production       ,Janet King,2,Employee Referral,Fully Meets,4.63,3,0,1/4/2019,0,2</t>
  </si>
  <si>
    <t>Gross, Paula,10059,0,2,0,5,5,3,0,63813,1,19,Production Technician I,MA,02176,05/21/83,F,Divorced,US Citizen,No,White,2/21/2011,1/11/2014,more money,Voluntarily Terminated,Production       ,Kelley Spirea,18,CareerBuilder,Fully Meets,5.00,5,0,6/3/2013,0,17</t>
  </si>
  <si>
    <t>Gruber, Hans,10234,1,1,1,1,3,3,0,99020,0,4,BI Developer,MA,02134,06/30/89,M ,Married,US Citizen,No,Black or African American,4/20/2017,,N/A-StillEmployed,Active,IT/IS,Brian Champaigne,13,Indeed,Fully Meets,4.20,5,5,1/28/2019,0,8</t>
  </si>
  <si>
    <t>Guilianno, Mike,10109,0,0,1,5,6,3,0,71707,1,3,Area Sales Manager,TN,37129,02/09/69,M ,Single,US Citizen,No,Two or more races,3/7/2012,10/31/2014,relocation out of area,Voluntarily Terminated,Sales,John Smith,17,LinkedIn,Fully Meets,4.50,5,0,2/1/2013,0,20</t>
  </si>
  <si>
    <t>Handschiegl, Joanne,10125,1,1,0,1,5,3,0,54828,0,19,Production Technician I,MA,02127,03/23/77,F,Married,US Citizen,No,White,11/28/2011,,N/A-StillEmployed,Active,Production       ,Michael Albert,22,Google Search,Fully Meets,4.20,4,0,2/22/2019,0,13</t>
  </si>
  <si>
    <t>Hankard, Earnest,10074,0,0,1,1,5,3,0,64246,0,20,Production Technician II,MA,02155,08/10/88,M ,Single,US Citizen,Yes,White,11/11/2013,,N/A-StillEmployed,Active,Production       ,Kelley Spirea,18,LinkedIn,Fully Meets,5.00,3,0,1/8/2019,0,20</t>
  </si>
  <si>
    <t>Harrington, Christie ,10097,0,0,0,5,5,3,0,52177,1,19,Production Technician I,MA,02324,08/18/52,F,Single,US Citizen,No,White,1/9/2012,12/15/2015,retiring,Voluntarily Terminated,Production       ,Webster Butler,39,CareerBuilder,Fully Meets,4.64,4,0,5/2/2015,0,8</t>
  </si>
  <si>
    <t>Harrison, Kara,10007,1,1,0,1,5,4,0,62065,0,19,Production Technician I,MA,01886,05/02/74,F,Married,US Citizen,No,White,5/12/2014,,N/A-StillEmployed,Active,Production       ,Amy Dunn,11,CareerBuilder,Exceeds,4.76,4,0,2/15/2019,0,5</t>
  </si>
  <si>
    <t>Heitzman, Anthony,10129,0,0,1,1,5,3,0,46998,0,19,Production Technician I,MA,02149,01/04/84,M ,Single,US Citizen,No,White,8/13/2012,,N/A-StillEmployed,Active,Production       ,Ketsia Liebig,19,Google Search,Fully Meets,4.17,4,0,2/11/2019,0,1</t>
  </si>
  <si>
    <t>Hendrickson, Trina,10075,0,0,0,5,5,3,0,68099,1,20,Production Technician II,MA,02021,08/27/72,F,Single,US Citizen,No,White,1/10/2011,6/18/2013,hours,Voluntarily Terminated,Production       ,Kelley Spirea,18,CareerBuilder,Fully Meets,5.00,3,0,1/30/2013,0,15</t>
  </si>
  <si>
    <t>Hitchcock, Alfred,10167,1,1,1,1,6,3,0,70545,0,3,Area Sales Manager,NH,03062,09/14/88,M ,Married,US Citizen,No,American Indian or Alaska Native,8/18/2014,,N/A-StillEmployed,Active,Sales,John Smith,17,Indeed,Fully Meets,3.60,5,0,1/30/2019,0,9</t>
  </si>
  <si>
    <t>Homberger, Adrienne  J,10195,1,1,0,5,5,3,0,63478,1,20,Production Technician II,MA,02445,02/16/84,F,Married,Non-Citizen,No,White,8/15/2011,4/7/2012,relocation out of area,Voluntarily Terminated,Production       ,Michael Albert,30,Indeed,Fully Meets,3.03,5,0,3/5/2012,0,16</t>
  </si>
  <si>
    <t>Horton, Jayne,10112,0,0,0,1,3,3,0,97999,0,8,Database Administrator,MA,02493,02/21/84,F,Single,US Citizen,No,White,3/30/2015,,N/A-StillEmployed,Active,IT/IS,Simon Roup,4,Indeed,Fully Meets,4.48,5,6,1/3/2019,0,4</t>
  </si>
  <si>
    <t>Houlihan, Debra,10272,1,1,0,1,6,3,0,180000,0,11,Director of Sales,RI,02908,03/17/66,F,Married,US Citizen,No,White,5/5/2014,,N/A-StillEmployed,Active,Sales,Janet King,2,LinkedIn,Fully Meets,4.50,4,0,1/21/2019,0,19</t>
  </si>
  <si>
    <t>Howard, Estelle,10182,1,1,0,1,1,3,0,49920,1,2,Administrative Assistant,MA,02170,09/16/85,F,Married,US Citizen,No,Black or African American,2/16/2015,4/15/2015,"no-call, no-show",Terminated for Cause,Admin Offices,Brandon R. LeBlanc,1,Indeed,Fully Meets,3.24,3,4,4/15/2015,0,6</t>
  </si>
  <si>
    <t>Hudson, Jane,10248,0,0,0,1,5,3,0,55425,0,19,Production Technician I,MA,02176,06/10/86,F,Single,US Citizen,No,White,2/20/2012,,N/A-StillEmployed,Active,Production       ,Ketsia Liebig,19,LinkedIn,Fully Meets,4.80,4,0,1/7/2019,0,4</t>
  </si>
  <si>
    <t>Hunts, Julissa,10201,0,0,0,2,5,3,0,69340,0,20,Production Technician II,MA,02021,03/11/84,F,Single,US Citizen,No,White,6/6/2016,,N/A-StillEmployed,Active,Production       ,Elijiah Gray,16,LinkedIn,Fully Meets,3.00,5,0,1/18/2019,0,4</t>
  </si>
  <si>
    <t>Hutter, Rosalie,10214,0,3,0,2,5,3,0,64995,0,20,Production Technician II,MA,02351,05/07/92,F,Separated,US Citizen,No,White,6/5/2015,,N/A-StillEmployed,Active,Production       ,Webster Butler,,Indeed,Fully Meets,4.50,3,0,2/14/2019,0,6</t>
  </si>
  <si>
    <t>Huynh, Ming,10160,0,2,0,5,5,3,0,68182,1,20,Production Technician II,MA,01742,09/22/76,F,Divorced,US Citizen,No,White,2/21/2011,4/1/2013,unhappy,Voluntarily Terminated,Production       ,Amy Dunn,11,Google Search,Fully Meets,3.72,3,0,2/1/2013,0,18</t>
  </si>
  <si>
    <t>Immediato, Walter,10289,1,1,1,5,5,2,0,83082,1,18,Production Manager,MA,02128,11/15/76,M ,Married,US Citizen,No,Asian,2/21/2011,9/24/2012,unhappy,Voluntarily Terminated,Production       ,Janet King,2,Indeed,Needs Improvement,2.34,2,0,4/12/2012,3,4</t>
  </si>
  <si>
    <t>Ivey, Rose ,10139,0,0,0,1,5,3,0,51908,0,19,Production Technician I,MA,01775,01/28/91,F,Single,US Citizen,No,White,8/19/2013,,N/A-StillEmployed,Active,Production       ,Brannon Miller,12,Indeed,Fully Meets,3.99,3,0,1/14/2019,0,14</t>
  </si>
  <si>
    <t>Jackson, Maryellen,10227,0,0,0,1,5,3,0,61242,0,19,Production Technician I,MA,02081,09/11/72,F,Single,US Citizen,No,Black or African American,11/5/2012,,N/A-StillEmployed,Active,Production       ,David Stanley,14,LinkedIn,Fully Meets,4.10,3,0,1/17/2019,0,7</t>
  </si>
  <si>
    <t>Jacobi, Hannah  ,10236,0,2,0,1,5,3,0,45069,0,19,Production Technician I,MA,01778,03/22/66,F,Divorced,US Citizen,No,White,9/30/2013,,N/A-StillEmployed,Active,Production       ,Kissy Sullivan,20,Employee Referral,Fully Meets,4.30,5,0,2/22/2019,0,7</t>
  </si>
  <si>
    <t>Jeannite, Tayana,10009,0,2,0,1,5,4,0,60724,0,20,Production Technician II,MA,01821,11/06/86,F,Divorced,US Citizen,No,American Indian or Alaska Native,7/5/2011,,N/A-StillEmployed,Active,Production       ,Ketsia Liebig,19,LinkedIn,Exceeds,4.60,4,0,2/25/2019,0,11</t>
  </si>
  <si>
    <t>Jhaveri, Sneha  ,10060,0,3,0,1,5,3,0,60436,0,19,Production Technician I,MA,02109,04/13/64,F,Separated,US Citizen,No,White,1/6/2014,,N/A-StillEmployed,Active,Production       ,Kelley Spirea,18,LinkedIn,Fully Meets,5.00,5,0,1/21/2019,0,9</t>
  </si>
  <si>
    <t>Johnson, George,10034,1,1,1,5,5,4,0,46837,1,19,Production Technician I,MA,02445,08/19/59,M ,Married,US Citizen,No,White,11/7/2011,4/29/2018,more money,Voluntarily Terminated,Production       ,Michael Albert,22,CareerBuilder,Exceeds,4.70,4,0,2/14/2018,0,9</t>
  </si>
  <si>
    <t>Johnson, Noelle ,10156,1,1,0,3,3,3,0,105700,0,8,Database Administrator,MA,02301,11/07/86,F,Married,US Citizen,No,Asian,1/5/2015,,N/A-StillEmployed,Active,IT/IS,Simon Roup,4,Indeed,Fully Meets,3.75,3,5,2/11/2019,0,2</t>
  </si>
  <si>
    <t>Johnston, Yen,10036,0,0,0,1,5,4,0,63322,0,20,Production Technician II,MA,02128,09/08/69,F,Single,US Citizen,No,White,7/7/2014,,N/A-StillEmployed,Active,Production       ,Brannon Miller,12,LinkedIn,Exceeds,4.30,3,0,1/11/2019,0,1</t>
  </si>
  <si>
    <t>Jung, Judy  ,10138,1,1,0,5,5,3,0,61154,1,19,Production Technician I,MA,02446,04/17/86,F,Married,US Citizen,No,Black or African American,1/10/2011,4/1/2016,unhappy,Voluntarily Terminated,Production       ,Elijiah Gray,16,CareerBuilder,Fully Meets,4.00,4,0,2/3/2016,0,4</t>
  </si>
  <si>
    <t>Kampew, Donysha,10244,0,0,0,5,6,3,0,68999,1,21,Sales Manager,PA,19444,11/11/89,F,Single,US Citizen,No,White,11/7/2011,4/24/2014,maternity leave - did not return,Voluntarily Terminated,Sales,Debra Houlihan,15,Google Search,Fully Meets,4.50,5,0,3/30/2013,0,2</t>
  </si>
  <si>
    <t>Keatts, Kramer ,10192,0,0,1,1,5,3,0,50482,0,19,Production Technician I,MA,01887,01/19/76,M ,Single,US Citizen,No,White,9/30/2013,,N/A-StillEmployed,Active,Production       ,Michael Albert,22,Indeed,Fully Meets,3.07,4,0,1/23/2019,0,10</t>
  </si>
  <si>
    <t>Khemmich, Bartholemew,10231,0,0,1,1,6,3,0,65310,0,3,Area Sales Manager,CO,80820,11/27/79,M ,Single,US Citizen,No,White,8/19/2013,,N/A-StillEmployed,Active,Sales,Lynn Daneault,21,Indeed,Fully Meets,4.30,5,0,1/22/2019,0,13</t>
  </si>
  <si>
    <t>King, Janet,10089,1,1,0,1,2,3,0,250000,0,16,President &amp; CEO,MA,01902,09/21/54,F,Married,US Citizen,Yes,White,7/2/2012,,N/A-StillEmployed,Active,Executive Office,Board of Directors,9,Indeed,Fully Meets,4.83,3,0,1/17/2019,0,10</t>
  </si>
  <si>
    <t>Kinsella, Kathleen  ,10166,1,1,0,5,5,3,0,54005,1,19,Production Technician I,MA,02170,12/08/73,F,Married,US Citizen,No,White,9/26/2011,6/4/2015,more money,Voluntarily Terminated,Production       ,Webster Butler,39,Google Search,Fully Meets,3.60,5,0,3/1/2015,0,16</t>
  </si>
  <si>
    <t>Kirill, Alexandra  ,10170,1,1,0,5,5,3,0,45433,1,19,Production Technician I,MA,02127,10/08/70,F,Married,US Citizen,No,White,9/26/2011,1/9/2014,more money,Voluntarily Terminated,Production       ,Amy Dunn,11,Google Search,Fully Meets,3.49,4,0,1/30/2013,0,6</t>
  </si>
  <si>
    <t>Knapp, Bradley  J,10208,0,0,1,1,5,3,0,46654,0,19,Production Technician I,MA,01721,11/10/77,M ,Single,US Citizen,No,Black or African American,2/17/2014,,N/A-StillEmployed,Active,Production       ,Ketsia Liebig,19,LinkedIn,Fully Meets,3.10,3,0,2/6/2019,0,3</t>
  </si>
  <si>
    <t>Kretschmer, John,10176,1,1,1,1,5,3,0,63973,0,19,Production Technician I,MA,01801,02/02/80,M ,Married,US Citizen,No,Asian,1/10/2011,,N/A-StillEmployed,Active,Production       ,Brannon Miller,12,Indeed,Fully Meets,3.38,3,0,1/21/2019,0,17</t>
  </si>
  <si>
    <t>Kreuger, Freddy,10165,0,0,1,1,6,3,1,71339,0,3,Area Sales Manager,NY,10171,02/24/69,M ,Single,US Citizen,Yes,Black or African American,3/7/2011,,N/A-StillEmployed,Active,Sales,John Smith,17,Diversity Job Fair,Fully Meets,3.65,5,0,1/17/2019,0,20</t>
  </si>
  <si>
    <t>Lajiri,  Jyoti,10113,1,1,1,3,3,3,0,93206,0,28,Sr. Network Engineer,MA,02169,04/23/86,M ,Married,US Citizen,No,White,11/10/2014,,N/A-StillEmployed,Active,IT/IS,Peter Monroe,7,Employee Referral,Fully Meets,4.46,5,6,1/7/2019,0,7</t>
  </si>
  <si>
    <t>Landa, Hans,10092,1,1,1,4,5,3,0,82758,1,18,Production Manager,MA,01890,07/01/72,M ,Married,US Citizen,No,White,1/10/2011,12/12/2015,attendance,Terminated for Cause,Production       ,Janet King,2,Employee Referral,Fully Meets,4.78,4,0,2/15/2015,0,9</t>
  </si>
  <si>
    <t>Langford, Lindsey,10106,0,2,0,5,5,3,0,66074,1,20,Production Technician II,MA,02090,07/25/79,F,Divorced,US Citizen,No,Asian,1/7/2013,3/31/2014,Another position,Voluntarily Terminated,Production       ,David Stanley,14,Indeed,Fully Meets,4.52,3,0,2/20/2014,0,20</t>
  </si>
  <si>
    <t>Langton, Enrico,10052,1,1,1,1,5,3,0,46120,0,19,Production Technician I,MA,02048,12/09/86,M ,Married,US Citizen,No,White,7/9/2012,,N/A-StillEmployed,Active,Production       ,David Stanley,14,LinkedIn,Fully Meets,5.00,5,0,2/4/2019,0,13</t>
  </si>
  <si>
    <t>LaRotonda, William  ,10038,0,2,1,1,1,3,0,64520,0,1,Accountant I,MA,01460,04/26/84,M ,Divorced,US Citizen,No,Black or African American,1/6/2014,,N/A-StillEmployed,Active,Admin Offices,Brandon R. LeBlanc,1,Website,Fully Meets,5.00,4,4,1/17/2019,0,3</t>
  </si>
  <si>
    <t>Latif, Mohammed,10249,1,1,1,5,5,3,0,61962,1,20,Production Technician II,MA,02126,05/09/84,M ,Married,US Citizen,No,White,4/2/2012,4/15/2013,more money,Voluntarily Terminated,Production       ,Kissy Sullivan,20,Google Search,Fully Meets,4.90,3,0,2/20/2013,0,20</t>
  </si>
  <si>
    <t>Le, Binh,10232,0,0,0,1,3,3,0,81584,0,22,Senior BI Developer,MA,01886,06/14/87,F,Single,US Citizen,No,Asian,10/2/2016,,N/A-StillEmployed,Active,IT/IS,Brian Champaigne,13,Indeed,Fully Meets,4.10,5,7,1/8/2019,0,2</t>
  </si>
  <si>
    <t>Leach, Dallas,10087,0,0,0,5,5,3,0,63676,1,19,Production Technician I,MA,01810,01/17/79,F,Single,US Citizen,No,Asian,9/26/2011,8/19/2018,return to school,Voluntarily Terminated,Production       ,Kissy Sullivan,20,CareerBuilder,Fully Meets,4.88,3,0,7/2/2017,0,17</t>
  </si>
  <si>
    <t>LeBlanc, Brandon  R,10134,1,1,1,1,1,3,0,93046,0,23,Shared Services Manager,MA,01460,06/10/84,M ,Married,US Citizen,No,White,1/5/2016,,N/A-StillEmployed,Active,Admin Offices,Janet King,2,CareerBuilder,Fully Meets,4.10,4,0,1/28/2019,0,20</t>
  </si>
  <si>
    <t>Lecter, Hannibal,10251,1,1,1,1,5,3,0,64738,0,19,Production Technician I,MA,01776,09/02/82,M ,Married,US Citizen,No,Asian,5/14/2012,,N/A-StillEmployed,Active,Production       ,Elijiah Gray,16,Google Search,Fully Meets,4.10,3,0,2/22/2019,0,10</t>
  </si>
  <si>
    <t>Leruth, Giovanni,10103,0,3,1,1,6,3,0,70468,0,3,Area Sales Manager,UT,84111,12/27/88,M ,Separated,US Citizen,No,Black or African American,4/30/2012,,N/A-StillEmployed,Active,Sales,John Smith,17,Website,Fully Meets,4.53,3,0,1/29/2019,0,16</t>
  </si>
  <si>
    <t>Liebig, Ketsia,10017,1,1,0,1,5,4,0,77915,0,18,Production Manager,MA,02110,10/26/81,F,Married,US Citizen,No,White,9/30/2013,,N/A-StillEmployed,Active,Production       ,Janet King,2,Website,Exceeds,4.10,3,0,1/21/2019,0,11</t>
  </si>
  <si>
    <t>Linares, Marilyn ,10186,1,1,0,5,5,3,0,52624,1,19,Production Technician I,MA,01886,03/26/81,F,Married,US Citizen,No,White,7/5/2011,9/26/2018,unhappy,Voluntarily Terminated,Production       ,Michael Albert,22,Indeed,Fully Meets,3.18,4,0,3/2/2018,0,16</t>
  </si>
  <si>
    <t>Linden, Mathew,10137,1,1,1,3,5,3,0,63450,0,20,Production Technician II,MA,01770,03/19/79,M ,Married,US Citizen,No,White,7/8/2013,,N/A-StillEmployed,Active,Production       ,Kelley Spirea,18,LinkedIn,Fully Meets,4.00,3,0,2/18/2019,0,7</t>
  </si>
  <si>
    <t>Lindsay, Leonara ,10008,0,0,0,1,3,4,1,51777,0,14,IT Support,CT,06070,10/05/88,F,Single,US Citizen,Yes,Black or African American,1/21/2011,,N/A-StillEmployed,Active,IT/IS,Eric Dougall,6,Diversity Job Fair,Exceeds,4.64,4,5,1/25/2019,0,14</t>
  </si>
  <si>
    <t>Lundy, Susan,10096,0,4,0,5,5,3,0,67237,1,20,Production Technician II,MA,02122,12/26/76,F,Widowed,US Citizen,No,White,7/8/2013,9/15/2016,more money,Voluntarily Terminated,Production       ,Michael Albert,22,LinkedIn,Fully Meets,4.65,4,0,6/10/2016,0,15</t>
  </si>
  <si>
    <t>Lunquist, Lisa,10035,0,0,0,1,5,4,0,73330,0,20,Production Technician II,MA,02324,03/28/82,F,Single,US Citizen,No,Black or African American,8/19/2013,,N/A-StillEmployed,Active,Production       ,Elijiah Gray,16,Indeed,Exceeds,4.20,4,0,2/12/2019,0,19</t>
  </si>
  <si>
    <t>Lydon, Allison,10057,1,1,0,3,5,3,0,52057,0,19,Production Technician I,MA,02122,10/22/75,F,Married,US Citizen,No,Black or African American,2/16/2015,,N/A-StillEmployed,Active,Production       ,Elijiah Gray,16,Website,Fully Meets,5.00,3,0,1/23/2019,0,6</t>
  </si>
  <si>
    <t>Lynch, Lindsay,10004,0,0,0,5,5,4,1,47434,1,19,Production Technician I,MA,01844,02/14/73,F,Single,US Citizen,Yes,Black or African American,11/7/2011,11/14/2015,Another position,Voluntarily Terminated,Production       ,Webster Butler,39,Diversity Job Fair,Exceeds,5.00,4,0,2/2/2015,0,17</t>
  </si>
  <si>
    <t>MacLennan, Samuel,10191,0,4,1,5,5,3,0,52788,1,19,Production Technician I,MA,01938,11/09/72,M ,Widowed,US Citizen,No,White,9/24/2012,9/26/2017,hours,Voluntarily Terminated,Production       ,Amy Dunn,11,Indeed,Fully Meets,3.08,4,0,4/1/2017,0,18</t>
  </si>
  <si>
    <t>Mahoney, Lauren  ,10219,0,0,0,1,5,3,0,45395,0,19,Production Technician I,MA,02189,07/07/86,F,Single,US Citizen,No,White,1/6/2014,,N/A-StillEmployed,Active,Production       ,Ketsia Liebig,19,LinkedIn,Fully Meets,4.60,4,0,2/26/2019,0,14</t>
  </si>
  <si>
    <t>Manchester, Robyn,10077,1,1,0,2,5,3,0,62385,0,20,Production Technician II,MA,02324,08/25/76,F,Married,US Citizen,No,White,5/11/2016,,N/A-StillEmployed,Active,Production       ,Webster Butler,,LinkedIn,Fully Meets,5.00,3,0,1/21/2019,0,4</t>
  </si>
  <si>
    <t>Mancuso, Karen,10073,1,1,0,5,5,3,0,68407,1,20,Production Technician II,MA,02176,12/10/86,F,Married,US Citizen,No,Two or more races,7/5/2011,8/19/2012,Another position,Voluntarily Terminated,Production       ,Amy Dunn,11,LinkedIn,Fully Meets,5.00,4,0,7/2/2012,0,16</t>
  </si>
  <si>
    <t>Mangal, Debbie,10279,1,1,0,1,5,3,0,61349,0,19,Production Technician I,MA,02451,11/07/74,F,Married,US Citizen,No,White,11/11/2013,,N/A-StillEmployed,Active,Production       ,Brannon Miller,12,LinkedIn,Fully Meets,4.10,3,0,1/22/2019,0,11</t>
  </si>
  <si>
    <t>Martin, Sandra,10110,0,0,0,1,4,3,0,105688,0,24,Software Engineer,MA,02135,11/07/87,F,Single,US Citizen,No,Asian,11/11/2013,,N/A-StillEmployed,Active,Software Engineering,Alex Sweetwater,10,Google Search,Fully Meets,4.50,5,4,1/14/2019,0,14</t>
  </si>
  <si>
    <t>Maurice, Shana,10053,1,1,0,1,5,3,0,54132,0,19,Production Technician I,MA,02330,11/22/77,F,Married,US Citizen,No,White,5/31/2011,,N/A-StillEmployed,Active,Production       ,David Stanley,14,Indeed,Fully Meets,5.00,4,0,1/10/2019,0,8</t>
  </si>
  <si>
    <t>Carthy, B'rigit,10076,0,0,0,1,5,3,0,55315,0,20,Production Technician II,MA,02149,05/21/87,F,Single,US Citizen,No,Black or African American,3/30/2015,,N/A-StillEmployed,Active,Production       ,Ketsia Liebig,19,LinkedIn,Fully Meets,5.00,5,0,2/7/2019,0,16</t>
  </si>
  <si>
    <t>Mckenna, Sandy,10145,1,1,0,1,5,3,0,62810,0,19,Production Technician I,MA,02184,01/07/87,F,Married,US Citizen,No,Black or African American,1/7/2013,,N/A-StillEmployed,Active,Production       ,Kissy Sullivan,20,CareerBuilder,Fully Meets,3.93,3,0,1/30/2019,0,20</t>
  </si>
  <si>
    <t>McKinzie, Jac,10202,1,1,1,2,6,3,0,63291,0,3,Area Sales Manager,TX,78789,07/01/84,M ,Married,US Citizen,No,Two or more races,7/6/2016,,N/A-StillEmployed,Active,Sales,Lynn Daneault,21,Website,Fully Meets,3.40,4,0,1/29/2019,0,7</t>
  </si>
  <si>
    <t>Meads, Elizabeth,10128,0,0,0,5,5,3,1,62659,1,19,Production Technician I,MA,01760,05/30/68,F,Single,US Citizen,No,Black or African American,4/2/2012,11/11/2016,Another position,Voluntarily Terminated,Production       ,Kelley Spirea,18,Diversity Job Fair,Fully Meets,4.18,4,0,2/5/2016,0,17</t>
  </si>
  <si>
    <t>Medeiros, Jennifer,10068,0,0,0,1,5,3,0,55688,0,19,Production Technician I,MA,02346,09/22/76,F,Single,US Citizen,No,White,3/30/2015,,N/A-StillEmployed,Active,Production       ,Michael Albert,22,CareerBuilder,Fully Meets,5.00,4,0,1/21/2019,0,10</t>
  </si>
  <si>
    <t>Miller, Brannon,10116,0,0,1,1,5,3,0,83667,0,18,Production Manager,MA,02045,08/10/81,M ,Single,US Citizen,yes,Hispanic,8/16/2012,,N/A-StillEmployed,Active,Production       ,Janet King,2,Indeed,Fully Meets,4.37,3,0,1/14/2019,0,2</t>
  </si>
  <si>
    <t>Miller, Ned,10298,0,0,1,5,5,1,0,55800,1,20,Production Technician II,MA,02472,06/29/85,M ,Single,US Citizen,No,White,8/15/2011,9/4/2014,unhappy,Voluntarily Terminated,Production       ,Brannon Miller,12,LinkedIn,PIP,3.00,2,0,1/14/2013,6,6</t>
  </si>
  <si>
    <t>Monkfish, Erasumus,10213,1,1,1,1,5,3,0,58207,0,20,Production Technician II,MA,01450,08/17/92,M ,Married,US Citizen,No,White,11/7/2011,,N/A-StillEmployed,Active,Production       ,David Stanley,14,LinkedIn,Fully Meets,3.70,3,0,1/8/2019,0,14</t>
  </si>
  <si>
    <t>Monroe, Peter,10288,1,1,1,1,3,2,1,157000,0,13,IT Manager - Infra,MA,02134,10/05/86,M ,Married,Eligible NonCitizen,Yes,Black or African American,2/15/2012,,N/A-StillEmployed,Active,IT/IS,Jennifer Zamora,5,Diversity Job Fair,Needs Improvement,2.39,3,6,2/22/2019,4,13</t>
  </si>
  <si>
    <t>Monterro, Luisa,10025,0,0,0,1,5,4,0,72460,0,20,Production Technician II,MA,02126,04/24/70,F,Single,US Citizen,No,Black or African American,5/13/2013,,N/A-StillEmployed,Active,Production       ,Kissy Sullivan,20,Indeed,Exceeds,4.70,3,0,1/14/2019,0,1</t>
  </si>
  <si>
    <t>Moran, Patrick,10223,0,0,1,3,5,3,1,72106,0,20,Production Technician II,MA,02127,12/03/76,M ,Single,US Citizen,No,Black or African American,1/9/2012,,N/A-StillEmployed,Active,Production       ,Kelley Spirea,18,Diversity Job Fair,Fully Meets,4.10,4,0,1/31/2019,0,12</t>
  </si>
  <si>
    <t>Morway, Tanya,10151,1,1,0,1,3,3,0,52599,0,15,Network Engineer,MA,02048,04/04/79,F,Married,US Citizen,No,White,2/16/2015,,N/A-StillEmployed,Active,IT/IS,Peter Monroe,7,CareerBuilder,Fully Meets,3.81,3,6,2/11/2019,0,6</t>
  </si>
  <si>
    <t>Motlagh,  Dawn,10254,0,2,0,1,5,3,0,63430,0,19,Production Technician I,MA,02453,07/07/84,F,Divorced,US Citizen,No,White,4/1/2013,,N/A-StillEmployed,Active,Production       ,Elijiah Gray,16,LinkedIn,Fully Meets,4.40,4,0,1/17/2019,0,18</t>
  </si>
  <si>
    <t>Moumanil, Maliki ,10120,0,3,1,1,5,3,0,74417,0,20,Production Technician II,MA,01460,12/01/74,M ,Separated,US Citizen,No,Black or African American,5/13/2013,,N/A-StillEmployed,Active,Production       ,Michael Albert,22,LinkedIn,Fully Meets,4.29,5,0,1/28/2019,0,11</t>
  </si>
  <si>
    <t>Myers, Michael,10216,0,0,1,1,5,3,0,57575,0,19,Production Technician I,MA,01550,04/18/80,M ,Single,US Citizen,No,Asian,7/8/2013,,N/A-StillEmployed,Active,Production       ,Kissy Sullivan,20,LinkedIn,Fully Meets,4.10,4,0,1/22/2019,0,13</t>
  </si>
  <si>
    <t>Navathe, Kurt,10079,0,0,1,1,3,3,0,87921,0,22,Senior BI Developer,MA,02056,04/25/70,M ,Single,US Citizen,No,Asian,2/10/2017,,N/A-StillEmployed,Active,IT/IS,Brian Champaigne,13,Indeed,Fully Meets,5.00,3,6,2/25/2019,0,17</t>
  </si>
  <si>
    <t>Ndzi, Colombui,10215,0,0,1,5,5,3,1,50470,1,19,Production Technician I,MA,02110,05/02/89,M ,Single,US Citizen,No,Black or African American,9/26/2011,4/4/2014,return to school,Voluntarily Terminated,Production       ,Webster Butler,39,Diversity Job Fair,Fully Meets,4.30,3,0,3/2/2013,0,19</t>
  </si>
  <si>
    <t>Ndzi, Horia,10185,1,1,1,5,5,3,0,46664,1,19,Production Technician I,MA,02421,03/28/83,M ,Married,US Citizen,No,White,4/1/2013,5/25/2016,more money,Voluntarily Terminated,Production       ,Amy Dunn,11,Employee Referral,Fully Meets,3.18,3,0,3/6/2016,0,10</t>
  </si>
  <si>
    <t>Newman, Richard ,10063,1,1,1,3,5,3,0,48495,0,19,Production Technician I,MA,02136,04/08/77,M ,Married,US Citizen,No,White,5/12/2014,,N/A-StillEmployed,Active,Production       ,Ketsia Liebig,19,LinkedIn,Fully Meets,5.00,5,0,2/18/2019,0,11</t>
  </si>
  <si>
    <t>Ngodup, Shari ,10037,0,3,0,1,5,4,1,52984,0,19,Production Technician I,MA,01810,06/03/67,F,Separated,US Citizen,No,Black or African American,4/1/2013,,N/A-StillEmployed,Active,Production       ,Brannon Miller,12,Diversity Job Fair,Exceeds,4.00,3,0,2/13/2019,0,12</t>
  </si>
  <si>
    <t>Nguyen, Dheepa,10042,0,0,0,1,6,3,0,63695,0,3,Area Sales Manager,GA,30428,03/31/89,F,Single,US Citizen,No,Two or more races,7/8/2013,,N/A-StillEmployed,Active,Sales,Lynn Daneault,21,Indeed,Fully Meets,5.00,5,0,1/25/2019,0,2</t>
  </si>
  <si>
    <t>Nguyen, Lei-Ming,10206,0,0,0,1,5,3,0,62061,0,19,Production Technician I,MA,02132,07/07/84,F,Single,US Citizen,No,White,7/8/2013,,N/A-StillEmployed,Active,Production       ,David Stanley,14,LinkedIn,Fully Meets,3.60,5,0,1/2/2019,0,4</t>
  </si>
  <si>
    <t>Nowlan, Kristie,10104,0,0,0,1,5,3,0,66738,0,20,Production Technician II,MA,01040,11/23/85,F,Single,US Citizen,No,White,11/10/2014,,N/A-StillEmployed,Active,Production       ,Elijiah Gray,16,Indeed,Fully Meets,4.53,5,0,1/16/2019,0,5</t>
  </si>
  <si>
    <t>O'hare, Lynn,10303,0,0,0,4,5,1,0,52674,1,19,Production Technician I,MA,02152,09/30/80,F,Single,US Citizen,No,Two or more races,3/31/2014,5/1/2018,performance,Terminated for Cause,Production       ,Kissy Sullivan,20,LinkedIn,PIP,2.33,2,0,3/9/2018,6,3</t>
  </si>
  <si>
    <t>Oliver, Brooke ,10078,1,1,0,5,5,3,0,71966,1,20,Production Technician II,MA,02492,02/11/52,F,Married,US Citizen,No,Asian,5/14/2012,8/19/2013,unhappy,Voluntarily Terminated,Production       ,Webster Butler,39,LinkedIn,Fully Meets,5.00,3,0,7/2/2013,0,17</t>
  </si>
  <si>
    <t>Onque, Jasmine,10121,0,0,0,1,6,3,0,63051,0,3,Area Sales Manager,FL,33174,05/11/90,F,Single,US Citizen,Yes,White,9/30/2013,,N/A-StillEmployed,Active,Sales,Lynn Daneault,21,Indeed,Fully Meets,4.28,3,0,1/25/2019,0,1</t>
  </si>
  <si>
    <t>Osturnka, Adeel,10021,1,1,1,1,5,4,0,47414,0,19,Production Technician I,MA,02478,12/11/76,M ,Married,US Citizen,No,White,9/30/2013,,N/A-StillEmployed,Active,Production       ,Kelley Spirea,18,LinkedIn,Exceeds,5.00,3,0,2/7/2019,0,13</t>
  </si>
  <si>
    <t>Owad, Clinton,10281,0,0,1,1,5,2,0,53060,0,19,Production Technician I,MA,01760,11/24/79,M ,Single,US Citizen,No,Black or African American,2/17/2014,,N/A-StillEmployed,Active,Production       ,Michael Albert,22,LinkedIn,Needs Improvement,4.25,3,0,2/4/2019,4,6</t>
  </si>
  <si>
    <t>Ozark, Travis,10041,0,0,1,1,6,3,0,68829,0,3,Area Sales Manager,NC,27229,05/19/82,M ,Single,US Citizen,No,White,1/5/2015,,N/A-StillEmployed,Active,Sales,John Smith,17,Website,Fully Meets,5.00,5,0,1/14/2019,0,18</t>
  </si>
  <si>
    <t>Panjwani, Nina,10148,1,1,0,5,5,3,0,63515,1,19,Production Technician I,MA,02351,05/01/79,F,Married,US Citizen,No,White,2/7/2011,1/12/2014,Another position,Voluntarily Terminated,Production       ,Elijiah Gray,16,Google Search,Fully Meets,3.89,4,0,3/4/2013,0,7</t>
  </si>
  <si>
    <t>Patronick, Lucas,10005,0,0,1,5,4,4,1,108987,1,24,Software Engineer,MA,01844,02/20/79,M ,Single,US Citizen,No,Black or African American,11/7/2011,9/7/2015,Another position,Voluntarily Terminated,Software Engineering,Alex Sweetwater,10,Diversity Job Fair,Exceeds,5.00,5,3,8/16/2015,0,13</t>
  </si>
  <si>
    <t>Pearson, Randall,10259,1,1,1,5,3,3,0,93093,1,9,Data Analyst,MA,02747,09/05/84,M ,Married,US Citizen,No,White,12/1/2014,5/1/2016,performance,Voluntarily Terminated,IT/IS,Simon Roup,4,Employee Referral,Fully Meets,4.70,4,5,1/16/2016,0,19</t>
  </si>
  <si>
    <t>Smith, Martin,10286,0,0,1,5,5,2,0,53564,1,19,Production Technician I,MA,02458,03/17/88,M ,Single,US Citizen,No,Black or African American,1/10/2011,12/28/2017,career change,Voluntarily Terminated,Production       ,Webster Butler,39,Google Search,Needs Improvement,3.54,5,0,4/6/2017,4,15</t>
  </si>
  <si>
    <t>Pelletier, Ermine,10297,1,1,0,5,5,2,0,60270,1,20,Production Technician II,MA,02472,07/18/89,F,Married,US Citizen,No,Asian,7/5/2011,9/15/2015,unhappy,Voluntarily Terminated,Production       ,Amy Dunn,11,CareerBuilder,Needs Improvement,2.40,5,0,2/6/2015,5,2</t>
  </si>
  <si>
    <t>Perry, Shakira,10171,0,0,0,5,5,3,0,45998,1,19,Production Technician I,MA,02176,07/20/86,F,Single,US Citizen,No,White,5/16/2011,10/25/2015,medical issues,Voluntarily Terminated,Production       ,Amy Dunn,11,LinkedIn,Fully Meets,3.45,4,0,5/13/2014,0,5</t>
  </si>
  <si>
    <t>Peters, Lauren,10032,1,1,0,5,5,4,0,57954,1,20,Production Technician II,MA,01886,08/17/86,F,Married,US Citizen,No,White,5/16/2011,2/4/2013,more money,Voluntarily Terminated,Production       ,Ketsia Liebig,19,Indeed,Exceeds,4.20,5,0,1/10/2013,0,12</t>
  </si>
  <si>
    <t>Peterson, Ebonee  ,10130,1,1,0,5,5,3,0,74669,1,18,Production Manager,MA,02030,05/09/77,F,Married,US Citizen,No,White,10/25/2010,5/18/2016,Another position,Voluntarily Terminated,Production       ,Janet King,2,Indeed,Fully Meets,4.16,5,0,3/5/2015,0,6</t>
  </si>
  <si>
    <t>Petingill, Shana  ,10217,1,1,0,1,5,3,0,74226,0,20,Production Technician II,MA,02050,03/10/79,F,Married,Eligible NonCitizen,No,Asian,4/2/2012,,N/A-StillEmployed,Active,Production       ,Brannon Miller,12,LinkedIn,Fully Meets,4.30,3,0,1/14/2019,0,14</t>
  </si>
  <si>
    <t>Petrowsky, Thelma,10016,1,1,0,1,3,4,0,93554,0,9,Data Analyst,MA,01886,09/16/84,F,Married,US Citizen,No,Black or African American,11/10/2014,,N/A-StillEmployed,Active,IT/IS,Simon Roup,4,Employee Referral,Exceeds,4.60,5,7,1/4/2019,0,16</t>
  </si>
  <si>
    <t>Pham, Hong,10050,1,1,1,5,5,3,0,64724,1,19,Production Technician I,MA,02451,03/06/88,M ,Married,US Citizen,No,Asian,7/5/2011,11/30/2012,more money,Voluntarily Terminated,Production       ,Brannon Miller,12,Google Search,Fully Meets,5.00,3,0,2/20/2012,0,13</t>
  </si>
  <si>
    <t>Pitt, Brad ,10164,0,0,1,1,5,3,0,47001,0,19,Production Technician I,MA,02451,11/23/81,M ,Single,US Citizen,No,White,11/5/2007,,N/A-StillEmployed,Active,Production       ,David Stanley,14,Google Search,Fully Meets,3.66,3,0,2/25/2019,0,15</t>
  </si>
  <si>
    <t>Potts, Xana,10124,1,1,0,1,6,3,0,61844,0,3,Area Sales Manager,KY,40220,08/29/88,F,Married,US Citizen,No,Black or African American,1/9/2012,,N/A-StillEmployed,Active,Sales,Lynn Daneault,21,Website,Fully Meets,4.20,5,0,2/1/2019,0,9</t>
  </si>
  <si>
    <t>Power, Morissa,10187,0,2,0,5,5,3,0,46799,1,19,Production Technician I,MA,01742,10/15/84,F,Divorced,Eligible NonCitizen,No,Asian,5/16/2011,6/4/2018,Another position,Voluntarily Terminated,Production       ,Kissy Sullivan,20,Google Search,Fully Meets,3.17,4,0,4/2/2018,0,14</t>
  </si>
  <si>
    <t>Punjabhi, Louis  ,10225,0,0,1,1,5,3,0,59472,0,19,Production Technician I,MA,02109,06/19/61,M ,Single,US Citizen,No,White,1/6/2014,,N/A-StillEmployed,Active,Production       ,Kelley Spirea,18,Employee Referral,Fully Meets,4.80,3,0,1/7/2019,0,14</t>
  </si>
  <si>
    <t>Purinton, Janine,10262,0,2,0,5,5,3,0,46430,1,19,Production Technician I,MA,02474,09/22/70,F,Divorced,US Citizen,No,White,9/24/2012,6/18/2013,unhappy,Voluntarily Terminated,Production       ,Kissy Sullivan,20,Indeed,Fully Meets,4.50,5,0,4/2/2013,0,16</t>
  </si>
  <si>
    <t>Quinn, Sean,10131,1,1,1,5,1,3,1,83363,1,23,Software Engineer,MA,02045,11/06/84,M ,Married,Eligible NonCitizen,No,Black or African American,2/21/2011,8/15/2015,career change,Voluntarily Terminated,Software Engineering,Janet King,2,Diversity Job Fair,Fully Meets,4.15,4,0,4/19/2014,0,4</t>
  </si>
  <si>
    <t>Rachael, Maggie,10239,1,1,0,1,3,3,0,95920,0,4,BI Developer,MA,02110,05/12/80,F,Married,US Citizen,No,Black or African American,10/2/2016,,N/A-StillEmployed,Active,IT/IS,Brian Champaigne,13,Indeed,Fully Meets,4.40,4,6,2/6/2019,0,10</t>
  </si>
  <si>
    <t>Rarrick, Quinn,10152,0,2,1,5,5,3,0,61729,1,19,Production Technician I,MA,02478,12/31/84,M ,Divorced,US Citizen,No,White,9/26/2011,4/7/2018,more money,Voluntarily Terminated,Production       ,Michael Albert,22,Indeed,Fully Meets,3.80,5,0,2/4/2018,0,19</t>
  </si>
  <si>
    <t>Ren, Kylo,10140,1,1,1,1,6,3,0,61809,0,3,Area Sales Manager,ID,83706,10/12/54,M ,Married,US Citizen,No,White,5/12/2014,,N/A-StillEmployed,Active,Sales,John Smith,17,CareerBuilder,Fully Meets,3.98,3,0,1/28/2019,0,4</t>
  </si>
  <si>
    <t>Rhoads, Thomas,10058,0,2,1,5,5,3,0,45115,1,19,Production Technician I,MA,02176,07/22/82,M ,Divorced,US Citizen,Yes,White,5/16/2011,1/15/2016,retiring,Voluntarily Terminated,Production       ,Elijiah Gray,16,LinkedIn,Fully Meets,5.00,4,0,3/30/2015,0,11</t>
  </si>
  <si>
    <t>Rivera, Haley  ,10011,1,1,0,1,5,4,0,46738,0,19,Production Technician I,MA,02171,01/12/73,F,Married,US Citizen,No,Asian,11/28/2011,,N/A-StillEmployed,Active,Production       ,Webster Butler,,Google Search,Exceeds,4.36,5,0,2/11/2019,0,16</t>
  </si>
  <si>
    <t>Roberson, May,10230,0,2,0,5,5,3,0,64971,1,20,Production Technician II,MA,01902,09/05/81,F,Divorced,Eligible NonCitizen,No,Black or African American,9/26/2011,10/22/2011,return to school,Voluntarily Terminated,Production       ,David Stanley,14,Google Search,Fully Meets,4.50,4,0,10/22/2011,0,10</t>
  </si>
  <si>
    <t>Robertson, Peter,10224,1,1,1,5,5,3,0,55578,1,20,Production Technician II,MA,02138,07/03/72,M ,Married,US Citizen,No,White,7/5/2011,2/8/2012,Another position,Voluntarily Terminated,Production       ,Kissy Sullivan,20,Indeed,Fully Meets,4.20,5,0,1/6/2012,0,13</t>
  </si>
  <si>
    <t>Robinson, Alain  ,10047,1,1,1,5,5,3,0,50428,1,19,Production Technician I,MA,01420,01/07/74,M ,Married,US Citizen,No,Black or African American,1/10/2011,1/26/2016,attendance,Voluntarily Terminated,Production       ,Amy Dunn,11,Indeed,Fully Meets,5.00,3,0,1/10/2015,0,11</t>
  </si>
  <si>
    <t>Robinson, Cherly,10285,1,1,0,4,5,2,0,61422,1,19,Production Technician I,MA,01460,01/07/85,F,Married,US Citizen,No,White,1/10/2011,5/17/2016,attendance,Terminated for Cause,Production       ,Ketsia Liebig,19,Indeed,Needs Improvement,3.60,3,0,4/5/2016,4,16</t>
  </si>
  <si>
    <t>Robinson, Elias,10020,0,4,1,1,5,4,0,63353,0,19,Production Technician I,MA,01730,01/28/85,M ,Widowed,US Citizen,No,White,7/8/2013,,N/A-StillEmployed,Active,Production       ,Brannon Miller,12,Employee Referral,Exceeds,3.60,5,0,2/11/2019,0,4</t>
  </si>
  <si>
    <t>Roby, Lori ,10162,1,1,0,1,3,3,0,89883,0,9,Data Analyst,MA,01886,10/11/81,F,Married,US Citizen,No,White,2/16/2015,,N/A-StillEmployed,Active,IT/IS,Simon Roup,4,Employee Referral,Fully Meets,3.69,5,6,2/14/2019,0,15</t>
  </si>
  <si>
    <t>Roehrich, Bianca,10149,0,0,0,5,3,3,0,120000,1,29,Principal Data Architect,MA,02703,05/27/73,F,Single,US Citizen,Yes,White,1/5/2015,11/10/2018,Another position,Voluntarily Terminated,IT/IS,Simon Roup,4,LinkedIn,Fully Meets,3.88,3,7,2/13/2018,0,12</t>
  </si>
  <si>
    <t>Roper, Katie,10086,0,0,0,1,3,3,0,150290,0,7,Data Architect,MA,02056,11/21/72,F,Single,US Citizen,No,Black or African American,1/7/2017,,N/A-StillEmployed,Active,IT/IS,Brian Champaigne,13,Indeed,Fully Meets,4.94,3,5,2/6/2019,0,17</t>
  </si>
  <si>
    <t>Rose, Ashley  ,10054,0,3,0,1,5,3,0,60627,0,19,Production Technician I,MA,01886,12/05/74,F,Separated,US Citizen,No,White,1/6/2014,,N/A-StillEmployed,Active,Production       ,David Stanley,14,Website,Fully Meets,5.00,4,0,1/31/2019,0,8</t>
  </si>
  <si>
    <t>Rossetti, Bruno,10065,0,0,1,5,5,3,0,53180,1,19,Production Technician I,MA,02155,03/18/87,M ,Single,US Citizen,No,White,4/4/2011,8/13/2018,Another position,Voluntarily Terminated,Production       ,Kissy Sullivan,20,Google Search,Fully Meets,5.00,5,0,7/2/2018,0,4</t>
  </si>
  <si>
    <t>Roup,Simon,10198,0,0,1,1,3,3,0,140920,0,13,IT Manager - DB,MA,02481,04/05/73,M ,Single,US Citizen,No,White,1/20/2013,,N/A-StillEmployed,Active,IT/IS,Jennifer Zamora,5,Indeed,Fully Meets,3.60,5,7,2/18/2019,0,13</t>
  </si>
  <si>
    <t>Ruiz, Ricardo,10222,0,2,1,5,3,3,1,148999,1,13,IT Manager - DB,MA,01915,01/04/64,M ,Divorced,US Citizen,No,Black or African American,1/9/2012,11/4/2015,hours,Voluntarily Terminated,IT/IS,Jennifer Zamora,5,Diversity Job Fair,Fully Meets,4.30,4,6,1/4/2015,0,8</t>
  </si>
  <si>
    <t>Saada, Adell,10126,1,1,0,1,4,3,0,86214,0,24,Software Engineer,MA,02132,07/24/86,F,Married,US Citizen,No,White,11/5/2012,,N/A-StillEmployed,Active,Software Engineering,Alex Sweetwater,10,Indeed,Fully Meets,4.20,3,6,2/13/2019,0,2</t>
  </si>
  <si>
    <t>Saar-Beckles, Melinda,10295,0,0,0,2,5,2,1,47750,0,19,Production Technician I,MA,01801,06/06/68,F,Single,US Citizen,No,Black or African American,7/4/2016,,N/A-StillEmployed,Active,Production       ,Kelley Spirea,18,Diversity Job Fair,Needs Improvement,2.60,4,0,2/18/2019,5,4</t>
  </si>
  <si>
    <t>Sadki, Nore  ,10260,0,0,1,5,5,3,0,46428,1,19,Production Technician I,MA,02148,12/21/74,M ,Single,US Citizen,No,White,1/5/2009,7/30/2018,relocation out of area,Voluntarily Terminated,Production       ,Michael Albert,22,Google Search,Fully Meets,4.60,5,0,2/5/2018,0,7</t>
  </si>
  <si>
    <t>Sahoo, Adil,10233,1,1,1,1,5,3,0,57975,0,20,Production Technician II,MA,02062,04/26/86,M ,Married,US Citizen,No,White,8/30/2010,,N/A-StillEmployed,Active,Production       ,Kelley Spirea,18,CareerBuilder,Fully Meets,4.10,3,0,1/10/2019,0,13</t>
  </si>
  <si>
    <t>Salter, Jason,10229,0,2,1,5,3,3,0,88527,1,9,Data Analyst ,MA,02452,12/17/87,M ,Divorced,US Citizen,No,Black or African American,1/5/2015,10/31/2015,hours,Voluntarily Terminated,IT/IS,Simon Roup,4,LinkedIn,Fully Meets,4.20,3,5,4/20/2015,0,2</t>
  </si>
  <si>
    <t>Sander, Kamrin,10169,1,1,0,1,5,3,0,56147,0,19,Production Technician I,MA,02154,07/10/88,F,Married,US Citizen,No,Black or African American,9/29/2014,,N/A-StillEmployed,Active,Production       ,Elijiah Gray,16,LinkedIn,Fully Meets,3.51,3,0,2/18/2019,0,2</t>
  </si>
  <si>
    <t>Sewkumar, Nori,10071,0,0,0,3,5,3,0,50923,0,19,Production Technician I,MA,02191,03/10/75,F,Single,US Citizen,No,Asian,9/30/2013,,N/A-StillEmployed,Active,Production       ,Webster Butler,,Google Search,Fully Meets,5.00,5,0,2/6/2019,0,14</t>
  </si>
  <si>
    <t>Shepard, Anita ,10179,1,1,0,1,3,3,0,50750,0,15,Network Engineer,MA,01773,04/14/81,F,Married,US Citizen,No,White,9/30/2014,,N/A-StillEmployed,Active,IT/IS,Peter Monroe,7,LinkedIn,Fully Meets,3.31,3,6,1/7/2019,0,7</t>
  </si>
  <si>
    <t>Shields, Seffi,10091,1,1,0,1,5,3,0,52087,0,19,Production Technician I,MA,02149,08/24/85,F,Married,US Citizen,No,White,8/19/2013,,N/A-StillEmployed,Active,Production       ,Amy Dunn,11,LinkedIn,Fully Meets,4.81,4,0,2/15/2019,0,15</t>
  </si>
  <si>
    <t>Simard, Kramer,10178,1,1,1,1,3,3,0,87826,0,9,Data Analyst,MA,02110,02/08/70,M ,Married,US Citizen,Yes,White,1/5/2015,,N/A-StillEmployed,Active,IT/IS,Simon Roup,4,Employee Referral,Fully Meets,3.32,3,7,1/14/2019,0,16</t>
  </si>
  <si>
    <t>Singh, Nan ,10039,0,0,0,1,1,3,0,51920,0,2,Administrative Assistant,MA,02330,05/19/88,F,Single,US Citizen,No,White,5/1/2015,,N/A-StillEmployed,Active,Admin Offices,Brandon R. LeBlanc,1,Website,Fully Meets,5.00,3,5,1/15/2019,0,2</t>
  </si>
  <si>
    <t>Sloan, Constance,10095,0,0,0,5,5,3,0,63878,1,20,Production Technician II,MA,01851,11/25/87,F,Single,US Citizen,No,White,10/26/2009,4/8/2015,maternity leave - did not return,Voluntarily Terminated,Production       ,Michael Albert,22,CareerBuilder,Fully Meets,4.68,4,0,4/2/2015,0,20</t>
  </si>
  <si>
    <t>Smith, Joe,10027,0,0,1,1,5,4,0,60656,0,20,Production Technician II,MA,02045,10/30/63,M ,Single,US Citizen,No,White,9/29/2014,,N/A-StillEmployed,Active,Production       ,Elijiah Gray,16,Indeed,Exceeds,4.30,3,0,1/28/2019,0,4</t>
  </si>
  <si>
    <t>Smith, John,10291,0,2,1,1,6,2,1,72992,0,21,Sales Manager,MA,01886,08/16/84,M ,Divorced,US Citizen,No,Black or African American,5/18/2014,,N/A-StillEmployed,Active,Sales,Debra Houlihan,15,Diversity Job Fair,Needs Improvement,2.40,4,0,1/16/2019,2,16</t>
  </si>
  <si>
    <t>Smith, Leigh Ann,10153,1,1,0,5,1,3,1,55000,1,2,Administrative Assistant,MA,01844,06/14/87,F,Married,US Citizen,No,Black or African American,9/26/2011,9/25/2013,career change,Voluntarily Terminated,Admin Offices,Brandon R. LeBlanc,1,Diversity Job Fair,Fully Meets,3.80,4,4,8/15/2013,0,17</t>
  </si>
  <si>
    <t>Smith, Sade,10157,0,0,0,1,5,3,0,58939,0,19,Production Technician I,MA,02130,02/02/65,F,Single,US Citizen,No,White,11/11/2013,,N/A-StillEmployed,Active,Production       ,Ketsia Liebig,19,Employee Referral,Fully Meets,3.73,3,0,1/24/2019,0,16</t>
  </si>
  <si>
    <t>Soto, Julia ,10119,1,1,0,1,3,3,0,66593,0,14,IT Support,MA,02360,03/12/73,F,Married,US Citizen,No,Black or African American,6/10/2011,,N/A-StillEmployed,Active,IT/IS,Eric Dougall,6,LinkedIn,Fully Meets,4.30,3,5,2/8/2019,0,19</t>
  </si>
  <si>
    <t>Soze, Keyser,10180,1,1,1,2,3,3,0,87565,0,28,Sr. Network Engineer,MA,01545,02/09/83,M ,Married,US Citizen,No,Asian,6/30/2016,,N/A-StillEmployed,Active,IT/IS,Peter Monroe,7,LinkedIn,Fully Meets,3.27,4,5,1/14/2019,0,13</t>
  </si>
  <si>
    <t>Sparks, Taylor  ,10302,1,1,0,1,5,1,0,64021,0,19,Production Technician I,MA,02093,07/20/68,F,Married,US Citizen,No,White,2/20/2012,,N/A-StillEmployed,Active,Production       ,Brannon Miller,12,Indeed,PIP,2.40,2,1,2/25/2019,6,20</t>
  </si>
  <si>
    <t>Spirea, Kelley,10090,1,1,0,1,5,3,0,65714,0,18,Production Manager,MA,02451,09/30/75,F,Married,US Citizen,No,White,10/2/2012,,N/A-StillEmployed,Active,Production       ,Janet King,2,LinkedIn,Fully Meets,4.83,5,0,2/14/2019,0,15</t>
  </si>
  <si>
    <t>Squatrito, Kristen,10030,0,2,0,5,5,4,0,62425,1,19,Production Technician I,MA,02359,03/26/73,F,Divorced,US Citizen,No,White,5/13/2013,6/29/2015,unhappy,Voluntarily Terminated,Production       ,David Stanley,14,LinkedIn,Exceeds,4.10,4,0,3/2/2015,0,16</t>
  </si>
  <si>
    <t>Stanford,Barbara  M,10278,0,2,0,1,5,3,0,47961,0,19,Production Technician I,MA,02050,08/25/82,F,Divorced,US Citizen,No,Two or more races,1/10/2011,,N/A-StillEmployed,Active,Production       ,Kissy Sullivan,20,Google Search,Fully Meets,4.10,4,0,2/7/2019,0,9</t>
  </si>
  <si>
    <t>Stansfield, Norman,10307,1,1,1,1,6,1,0,58273,0,3,Area Sales Manager,NV,89139,05/09/74,M ,Married,US Citizen,No,White,5/12/2014,,N/A-StillEmployed,Active,Sales,Lynn Daneault,21,Website,PIP,1.81,2,0,1/17/2019,3,5</t>
  </si>
  <si>
    <t>Steans, Tyrone  ,10147,0,0,1,1,1,3,0,63003,0,1,Accountant I,MA,02703,09/01/86,M ,Single,US Citizen,No,White,9/29/2014,,N/A-StillEmployed,Active,Admin Offices,Brandon R. LeBlanc,1,Indeed,Fully Meets,3.90,5,5,1/18/2019,0,9</t>
  </si>
  <si>
    <t>Stoica, Rick,10266,1,1,1,1,5,3,0,61355,0,19,Production Technician I,MA,02301,03/14/85,M ,Married,US Citizen,No,Asian,2/17/2014,,N/A-StillEmployed,Active,Production       ,Kelley Spirea,18,LinkedIn,Fully Meets,4.70,3,0,1/11/2019,0,4</t>
  </si>
  <si>
    <t>Strong, Caitrin,10241,1,1,0,1,6,3,0,60120,0,3,Area Sales Manager,MT,59102,05/12/89,F,Married,US Citizen,No,Black or African American,9/27/2010,,N/A-StillEmployed,Active,Sales,John Smith,17,Indeed,Fully Meets,4.10,4,0,1/31/2019,0,18</t>
  </si>
  <si>
    <t>Sullivan, Kissy ,10158,1,1,0,1,5,3,0,63682,0,18,Production Manager,MA,01776,03/28/78,F,Married,US Citizen,No,Black or African American,1/8/2009,,N/A-StillEmployed,Active,Production       ,Janet King,2,Indeed,Fully Meets,3.73,4,0,1/24/2019,0,12</t>
  </si>
  <si>
    <t>Sullivan, Timothy,10117,1,1,1,1,5,3,0,63025,0,19,Production Technician I,MA,02747,10/07/82,M ,Married,US Citizen,Yes,White,1/5/2015,,N/A-StillEmployed,Active,Production       ,Michael Albert,22,Google Search,Fully Meets,4.36,5,0,1/24/2019,0,10</t>
  </si>
  <si>
    <t>Sutwell, Barbara,10209,0,0,0,1,5,3,0,59238,0,19,Production Technician I,MA,02718,08/15/68,F,Single,Eligible NonCitizen,No,Asian,5/14/2012,,N/A-StillEmployed,Active,Production       ,Elijiah Gray,16,Indeed,Fully Meets,3.40,5,0,1/31/2019,0,13</t>
  </si>
  <si>
    <t>Szabo, Andrew,10024,0,0,1,1,4,4,0,92989,0,24,Software Engineer,MA,02140,05/06/83,M ,Single,US Citizen,No,White,7/7/2014,,N/A-StillEmployed,Active,Software Engineering,Alex Sweetwater,10,LinkedIn,Exceeds,4.50,5,5,2/18/2019,0,1</t>
  </si>
  <si>
    <t>Tannen, Biff,10173,1,1,1,1,3,3,0,90100,0,4,BI Developer,MA,02134,10/24/87,M ,Married,US Citizen,No,White,4/20/2017,,N/A-StillEmployed,Active,IT/IS,Brian Champaigne,13,Indeed,Fully Meets,3.40,3,6,1/2/2019,0,14</t>
  </si>
  <si>
    <t>Tavares, Desiree  ,10221,1,1,0,5,5,3,1,60754,1,19,Production Technician I,MA,01801,04/03/75,F,Married,Non-Citizen,No,Black or African American,4/27/2009,4/1/2013,Another position,Voluntarily Terminated,Production       ,Webster Butler,39,Diversity Job Fair,Fully Meets,4.50,5,0,2/15/2012,0,11</t>
  </si>
  <si>
    <t>Tejeda, Lenora ,10146,1,1,0,5,5,3,0,72202,1,20,Production Technician II,MA,02129,05/24/53,F,Married,US Citizen,No,White,5/16/2011,7/8/2017,Another position,Voluntarily Terminated,Production       ,Elijiah Gray,16,Google Search,Fully Meets,3.93,3,0,4/18/2017,0,3</t>
  </si>
  <si>
    <t>Terry, Sharlene ,10161,0,0,0,1,6,3,0,58370,0,3,Area Sales Manager,OR,97756,05/07/65,F,Single,US Citizen,No,Black or African American,9/29/2014,,N/A-StillEmployed,Active,Sales,Lynn Daneault,21,Indeed,Fully Meets,3.69,3,0,1/28/2019,0,18</t>
  </si>
  <si>
    <t>Theamstern, Sophia,10141,0,0,0,5,5,3,0,48413,1,19,Production Technician I,MA,02066,05/09/65,F,Single,US Citizen,No,White,7/5/2011,9/5/2016,return to school,Voluntarily Terminated,Production       ,Amy Dunn,11,Indeed,Fully Meets,3.98,4,0,3/2/2016,0,1</t>
  </si>
  <si>
    <t>Thibaud, Kenneth,10268,0,4,1,5,5,3,0,67176,1,20,Production Technician II,MA,02472,09/16/75,M ,Widowed,US Citizen,No,White,6/25/2007,8/30/2010,military,Voluntarily Terminated,Production       ,Webster Butler,39,Other,Fully Meets,4.10,4,0,7/14/2010,0,15</t>
  </si>
  <si>
    <t>Tippett, Jeanette,10123,0,2,0,1,5,3,0,56339,0,19,Production Technician I,MA,02093,06/05/67,F,Divorced,US Citizen,No,Black or African American,2/18/2013,,N/A-StillEmployed,Active,Production       ,Brannon Miller,12,Indeed,Fully Meets,4.21,5,0,1/14/2019,0,4</t>
  </si>
  <si>
    <t>Torrence, Jack,10013,0,3,1,1,6,4,0,64397,0,3,Area Sales Manager,ND,58782,01/15/68,M ,Separated,US Citizen,No,White,1/9/2006,,N/A-StillEmployed,Active,Sales,Lynn Daneault,21,Indeed,Exceeds,4.10,3,0,1/4/2019,0,6</t>
  </si>
  <si>
    <t>Trang, Mei,10287,0,0,0,1,5,2,0,63025,0,19,Production Technician I,MA,02021,05/16/83,F,Single,US Citizen,No,White,2/17/2014,,N/A-StillEmployed,Active,Production       ,David Stanley,14,LinkedIn,Needs Improvement,2.44,5,0,2/11/2019,4,18</t>
  </si>
  <si>
    <t>Tredinnick, Neville ,10044,1,1,1,5,3,3,0,75281,1,15,Network Engineer,MA,01420,05/05/88,M ,Married,US Citizen,No,White,1/5/2015,2/12/2016,medical issues,Voluntarily Terminated,IT/IS,Peter Monroe,7,CareerBuilder,Fully Meets,5.00,3,5,4/15/2015,0,11</t>
  </si>
  <si>
    <t>True, Edward,10102,0,0,1,5,4,3,1,100416,1,24,Software Engineer,MA,02451,06/14/83,M ,Single,Non-Citizen,No,Black or African American,2/18/2013,4/15/2018,medical issues,Voluntarily Terminated,Software Engineering,Alex Sweetwater,10,Diversity Job Fair,Fully Meets,4.60,3,4,2/12/2017,0,9</t>
  </si>
  <si>
    <t>Trzeciak, Cybil,10270,0,0,0,5,5,3,0,74813,1,20,Production Technician II,MA,01778,03/15/85,F,Single,US Citizen,No,White,1/10/2011,7/2/2014,unhappy,Voluntarily Terminated,Production       ,Amy Dunn,11,LinkedIn,Fully Meets,4.40,3,0,1/5/2014,0,5</t>
  </si>
  <si>
    <t>Turpin, Jumil,10045,1,1,1,1,3,3,0,76029,0,15,Network Engineer,MA,02343,03/31/69,M ,Married,Eligible NonCitizen,No,White,3/30/2015,,N/A-StillEmployed,Active,IT/IS,Peter Monroe,7,Employee Referral,Fully Meets,5.00,4,7,1/14/2019,0,8</t>
  </si>
  <si>
    <t>Valentin,Jackie,10205,1,1,0,1,6,3,0,57859,0,3,Area Sales Manager,AZ,85006,05/23/91,F,Married,US Citizen,No,Two or more races,7/5/2011,,N/A-StillEmployed,Active,Sales,John Smith,17,Indeed,Fully Meets,2.81,3,0,1/17/2019,0,16</t>
  </si>
  <si>
    <t>Veera, Abdellah ,10014,0,2,1,5,5,4,0,58523,1,19,Production Technician I,MA,02171,01/31/87,M ,Divorced,US Citizen,No,White,8/13/2012,2/5/2016,maternity leave - did not return,Voluntarily Terminated,Production       ,Kissy Sullivan,20,LinkedIn,Exceeds,4.50,5,0,2/1/2016,0,15</t>
  </si>
  <si>
    <t>Vega, Vincent,10144,0,2,1,1,5,3,0,88976,0,17,Production Manager,MA,02169,10/10/68,M ,Divorced,US Citizen,No,White,8/1/2011,,N/A-StillEmployed,Active,Production       ,Janet King,2,Employee Referral,Fully Meets,3.93,3,0,2/27/2019,0,19</t>
  </si>
  <si>
    <t>Villanueva, Noah,10253,0,0,1,1,6,3,0,55875,0,3,Area Sales Manager,ME,04063,07/11/89,M ,Single,US Citizen,No,Asian,3/5/2012,,N/A-StillEmployed,Active,Sales,John Smith,17,Website,Fully Meets,4.50,4,0,1/18/2019,0,11</t>
  </si>
  <si>
    <t>Voldemort, Lord,10118,1,1,1,4,3,3,0,113999,1,8,Database Administrator,MA,01960,08/07/86,M ,Married,US Citizen,No,Black or African American,2/16/2015,2/22/2017,"no-call, no-show",Terminated for Cause,IT/IS,Simon Roup,4,Employee Referral,Fully Meets,4.33,3,7,2/15/2017,0,9</t>
  </si>
  <si>
    <t>Volk, Colleen,10022,1,1,0,4,5,4,0,49773,1,19,Production Technician I,MA,02747,06/03/86,F,Married,US Citizen,No,White,9/26/2011,2/8/2016,gross misconduct,Terminated for Cause,Production       ,Kelley Spirea,18,Google Search,Exceeds,4.30,5,0,2/1/2015,0,18</t>
  </si>
  <si>
    <t>Von Massenbach, Anna,10183,0,0,0,2,5,3,0,62068,0,19,Production Technician I,MA,02124,04/06/85,F,Single,US Citizen,No,White,7/5/2015,,N/A-StillEmployed,Active,Production       ,Michael Albert,22,LinkedIn,Fully Meets,3.21,3,0,1/29/2019,0,7</t>
  </si>
  <si>
    <t>Walker, Roger,10190,0,0,1,1,5,3,0,66541,0,20,Production Technician II,MA,02459,02/10/76,M ,Single,US Citizen,No,Black or African American,8/18/2014,,N/A-StillEmployed,Active,Production       ,Ketsia Liebig,19,Employee Referral,Fully Meets,3.11,5,0,2/12/2019,0,4</t>
  </si>
  <si>
    <t>Wallace, Courtney  E,10274,1,1,0,5,5,3,1,80512,1,18,Production Manager,MA,02478,11/14/55,F,Married,US Citizen,No,Black or African American,9/26/2011,1/2/2012,Another position,Voluntarily Terminated,Production       ,Janet King,2,Diversity Job Fair,Fully Meets,4.50,3,0,1/2/2012,0,5</t>
  </si>
  <si>
    <t>Wallace, Theresa,10293,0,0,0,5,5,2,0,50274,1,19,Production Technician I,MA,01887,08/02/80,F,Single,US Citizen,No,White,8/13/2012,9/1/2015,career change,Voluntarily Terminated,Production       ,Elijiah Gray,16,CareerBuilder,Needs Improvement,2.50,3,0,9/5/2014,6,13</t>
  </si>
  <si>
    <t>Wang, Charlie,10172,0,0,1,1,3,3,0,84903,0,22,Senior BI Developer,MA,01887,07/08/81,M ,Single,US Citizen,No,Asian,2/15/2017,,N/A-StillEmployed,Active,IT/IS,Brian Champaigne,13,Indeed,Fully Meets,3.42,4,7,1/4/2019,0,17</t>
  </si>
  <si>
    <t>Warfield, Sarah,10127,0,4,0,1,3,3,0,107226,0,28,Sr. Network Engineer,MA,02453,05/02/78,F,Widowed,US Citizen,No,Asian,3/30/2015,,N/A-StillEmployed,Active,IT/IS,Peter Monroe,7,Employee Referral,Fully Meets,4.20,4,8,2/5/2019,0,7</t>
  </si>
  <si>
    <t>Whittier, Scott,10072,0,0,1,5,5,3,0,58371,1,19,Production Technician I,MA,02030,05/24/87,M ,Single,US Citizen,Yes,White,1/10/2011,5/15/2014,hours,Voluntarily Terminated,Production       ,Webster Butler,39,LinkedIn,Fully Meets,5.00,5,0,5/15/2014,0,11</t>
  </si>
  <si>
    <t>Wilber, Barry,10048,1,1,1,5,5,3,0,55140,1,19,Production Technician I,MA,02324,09/09/65,M ,Married,Eligible NonCitizen,No,White,5/16/2011,9/7/2015,unhappy,Voluntarily Terminated,Production       ,Amy Dunn,11,Website,Fully Meets,5.00,3,0,2/15/2015,0,7</t>
  </si>
  <si>
    <t>Wilkes, Annie,10204,0,2,0,5,5,3,0,58062,1,19,Production Technician I,MA,01876,07/30/83,F,Divorced,US Citizen,No,White,1/10/2011,5/14/2012,Another position,Voluntarily Terminated,Production       ,Ketsia Liebig,19,Google Search,Fully Meets,3.60,5,0,2/6/2011,0,9</t>
  </si>
  <si>
    <t>Williams, Jacquelyn  ,10264,0,0,0,5,5,3,1,59728,1,19,Production Technician I,MA,02109,10/02/69,F,Single,US Citizen,Yes,Black or African American,1/9/2012,6/27/2015,relocation out of area,Voluntarily Terminated,Production       ,Ketsia Liebig,19,Diversity Job Fair,Fully Meets,4.30,4,0,6/2/2014,0,16</t>
  </si>
  <si>
    <t>Winthrop, Jordan  ,10033,0,0,1,5,5,4,0,70507,1,20,Production Technician II,MA,02045,11/07/58,M ,Single,US Citizen,No,White,1/7/2013,2/21/2016,retiring,Voluntarily Terminated,Production       ,Brannon Miller,12,LinkedIn,Exceeds,5.00,3,0,1/19/2016,0,7</t>
  </si>
  <si>
    <t>Wolk, Hang  T,10174,0,0,0,1,5,3,0,60446,0,20,Production Technician II,MA,02302,04/20/85,F,Single,US Citizen,No,White,9/29/2014,,N/A-StillEmployed,Active,Production       ,David Stanley,14,LinkedIn,Fully Meets,3.40,4,0,2/21/2019,0,14</t>
  </si>
  <si>
    <t>Woodson, Jason,10135,0,0,1,1,5,3,0,65893,0,20,Production Technician II,MA,01810,05/11/85,M ,Single,US Citizen,No,White,7/7/2014,,N/A-StillEmployed,Active,Production       ,Kissy Sullivan,20,LinkedIn,Fully Meets,4.07,4,0,2/28/2019,0,13</t>
  </si>
  <si>
    <t>Ybarra, Catherine ,10301,0,0,0,5,5,1,0,48513,1,19,Production Technician I,MA,02458,05/04/82,F,Single,US Citizen,No,Asian,9/2/2008,9/29/2015,Another position,Voluntarily Terminated,Production       ,Brannon Miller,12,Google Search,PIP,3.20,2,0,9/2/2015,5,4</t>
  </si>
  <si>
    <t>Zamora, Jennifer,10010,0,0,0,1,3,4,0,220450,0,6,CIO,MA,02067,08/30/79,F,Single,US Citizen,No,White,4/10/2010,,N/A-StillEmployed,Active,IT/IS,Janet King,2,Employee Referral,Exceeds,4.60,5,6,2/21/2019,0,16</t>
  </si>
  <si>
    <t>Zhou, Julia,10043,0,0,0,1,3,3,0,89292,0,9,Data Analyst,MA,02148,02/24/79,F,Single,US Citizen,No,White,3/30/2015,,N/A-StillEmployed,Active,IT/IS,Simon Roup,4,Employee Referral,Fully Meets,5.00,3,5,2/1/2019,0,11</t>
  </si>
  <si>
    <t>Zima, Colleen,10271,0,4,0,1,5,3,0,45046,0,19,Production Technician I,MA,01730,08/17/78,F,Widowed,US Citizen,No,Asian,9/29/2014,,N/A-StillEmployed,Active,Production       ,David Stanley,14,LinkedIn,Fully Meets,4.50,5,0,1/30/2019,0,2</t>
  </si>
  <si>
    <t>Employee_Name</t>
  </si>
  <si>
    <t>EmpID</t>
  </si>
  <si>
    <t>GenderID</t>
  </si>
  <si>
    <t>Salary</t>
  </si>
  <si>
    <t>Position</t>
  </si>
  <si>
    <t>DOB</t>
  </si>
  <si>
    <t>Sex</t>
  </si>
  <si>
    <t>CitizenDesc</t>
  </si>
  <si>
    <t>DateofHire</t>
  </si>
  <si>
    <t>DateofTermination</t>
  </si>
  <si>
    <t>TermReason</t>
  </si>
  <si>
    <t>EmploymentStatus</t>
  </si>
  <si>
    <t>Department</t>
  </si>
  <si>
    <t>ManagerName</t>
  </si>
  <si>
    <t>Adinolfi, Wilson  K</t>
  </si>
  <si>
    <t>Production Technician I</t>
  </si>
  <si>
    <t xml:space="preserve">M </t>
  </si>
  <si>
    <t>US Citizen</t>
  </si>
  <si>
    <t>N/A-StillEmployed</t>
  </si>
  <si>
    <t>Active</t>
  </si>
  <si>
    <t>Production</t>
  </si>
  <si>
    <t>Michael Albert</t>
  </si>
  <si>
    <t>Ait Sidi, Karthikeyan</t>
  </si>
  <si>
    <t>Sr. DBA</t>
  </si>
  <si>
    <t>career change</t>
  </si>
  <si>
    <t>Voluntarily Terminated</t>
  </si>
  <si>
    <t>IT/IS</t>
  </si>
  <si>
    <t>Simon Roup</t>
  </si>
  <si>
    <t>Akinkuolie, Sarah</t>
  </si>
  <si>
    <t>Production Technician II</t>
  </si>
  <si>
    <t>F</t>
  </si>
  <si>
    <t>hours</t>
  </si>
  <si>
    <t>Kissy Sullivan</t>
  </si>
  <si>
    <t>Alagbe,Trina</t>
  </si>
  <si>
    <t>Elijiah Gray</t>
  </si>
  <si>
    <t>Anderson, Carol</t>
  </si>
  <si>
    <t>return to school</t>
  </si>
  <si>
    <t>Webster Butler</t>
  </si>
  <si>
    <t>Anderson, Linda</t>
  </si>
  <si>
    <t>Amy Dunn</t>
  </si>
  <si>
    <t>Andreola, Colby</t>
  </si>
  <si>
    <t>Software Engineer</t>
  </si>
  <si>
    <t>Software Engineering</t>
  </si>
  <si>
    <t>Alex Sweetwater</t>
  </si>
  <si>
    <t>Athwal, Sam</t>
  </si>
  <si>
    <t>Ketsia Liebig</t>
  </si>
  <si>
    <t>Bachiochi, Linda</t>
  </si>
  <si>
    <t>Brannon Miller</t>
  </si>
  <si>
    <t>Bacong, Alejandro</t>
  </si>
  <si>
    <t>IT Support</t>
  </si>
  <si>
    <t>Peter Monroe</t>
  </si>
  <si>
    <t>Baczenski, Rachael</t>
  </si>
  <si>
    <t>Another position</t>
  </si>
  <si>
    <t>David Stanley</t>
  </si>
  <si>
    <t>Barbara, Thomas</t>
  </si>
  <si>
    <t>unhappy</t>
  </si>
  <si>
    <t>Barbossa, Hector</t>
  </si>
  <si>
    <t>Data Analyst</t>
  </si>
  <si>
    <t>Barone, Francesco  A</t>
  </si>
  <si>
    <t>Kelley Spirea</t>
  </si>
  <si>
    <t>Barton, Nader</t>
  </si>
  <si>
    <t>Bates, Norman</t>
  </si>
  <si>
    <t>attendance</t>
  </si>
  <si>
    <t>Terminated for Cause</t>
  </si>
  <si>
    <t>Beak, Kimberly</t>
  </si>
  <si>
    <t>Beatrice, Courtney</t>
  </si>
  <si>
    <t>Eligible NonCitizen</t>
  </si>
  <si>
    <t>Becker, Renee</t>
  </si>
  <si>
    <t>Database Administrator</t>
  </si>
  <si>
    <t>performance</t>
  </si>
  <si>
    <t>Becker, Scott</t>
  </si>
  <si>
    <t>Bernstein, Sean</t>
  </si>
  <si>
    <t>Biden, Lowan  M</t>
  </si>
  <si>
    <t>Billis, Helen</t>
  </si>
  <si>
    <t>Blount, Dianna</t>
  </si>
  <si>
    <t>Bondwell, Betsy</t>
  </si>
  <si>
    <t>Booth, Frank</t>
  </si>
  <si>
    <t>Enterprise Architect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</si>
  <si>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</si>
  <si>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</si>
  <si>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</si>
  <si>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</si>
  <si>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</si>
  <si>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</si>
  <si>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</si>
  <si>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</si>
  <si>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</si>
  <si>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</si>
  <si>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</si>
  <si>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</si>
  <si>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Buccheri, Joseph</t>
  </si>
  <si>
    <t>Bugali, Josephine</t>
  </si>
  <si>
    <t>Bunbury, Jessica</t>
  </si>
  <si>
    <t>Area Sales Manager</t>
  </si>
  <si>
    <t>Sales</t>
  </si>
  <si>
    <t>John Smith</t>
  </si>
  <si>
    <t>Burke, Joelle</t>
  </si>
  <si>
    <t>Burkett, Benjamin</t>
  </si>
  <si>
    <t>Cady, Max</t>
  </si>
  <si>
    <t>Software Engineering Manager</t>
  </si>
  <si>
    <t>Jennifer Zamora</t>
  </si>
  <si>
    <t>Candie, Calvin</t>
  </si>
  <si>
    <t>Carabbio, Judith</t>
  </si>
  <si>
    <t>Carey, Michael</t>
  </si>
  <si>
    <t>Carr, Claudia  N</t>
  </si>
  <si>
    <t>Carter, Michelle</t>
  </si>
  <si>
    <t>Chace, Beatrice</t>
  </si>
  <si>
    <t>Champaigne, Brian</t>
  </si>
  <si>
    <t>BI Director</t>
  </si>
  <si>
    <t>Chan, Lin</t>
  </si>
  <si>
    <t>Chang, Donovan  E</t>
  </si>
  <si>
    <t>Chigurh, Anton</t>
  </si>
  <si>
    <t>Lynn Daneault</t>
  </si>
  <si>
    <t>Chivukula, Enola</t>
  </si>
  <si>
    <t>relocation out of area</t>
  </si>
  <si>
    <t>Cierpiszewski, Caroline</t>
  </si>
  <si>
    <t>Non-Citizen</t>
  </si>
  <si>
    <t>Clayton, Rick</t>
  </si>
  <si>
    <t>Eric Dougall</t>
  </si>
  <si>
    <t>Cloninger, Jennifer</t>
  </si>
  <si>
    <t>Close, Phil</t>
  </si>
  <si>
    <t>Clukey, Elijian</t>
  </si>
  <si>
    <t>Cockel, James</t>
  </si>
  <si>
    <t>Cole, Spencer</t>
  </si>
  <si>
    <t>Corleone, Michael</t>
  </si>
  <si>
    <t>Corleone, Vito</t>
  </si>
  <si>
    <t>Director of Operations</t>
  </si>
  <si>
    <t>Cornett, Lisa</t>
  </si>
  <si>
    <t>Costello, Frank</t>
  </si>
  <si>
    <t>Crimmings,   Jean</t>
  </si>
  <si>
    <t>Cross, Noah</t>
  </si>
  <si>
    <t>Sr. Network Engineer</t>
  </si>
  <si>
    <t>Daneault, Lynn</t>
  </si>
  <si>
    <t>Sales Manager</t>
  </si>
  <si>
    <t>Debra Houlihan</t>
  </si>
  <si>
    <t>Daniele, Ann</t>
  </si>
  <si>
    <t>Darson, Jene'ya</t>
  </si>
  <si>
    <t>Davis, Daniel</t>
  </si>
  <si>
    <t>Dee, Randy</t>
  </si>
  <si>
    <t>DeGweck,  James</t>
  </si>
  <si>
    <t>Del Bosque, Keyla</t>
  </si>
  <si>
    <t>Delarge, Alex</t>
  </si>
  <si>
    <t>Demita, Carla</t>
  </si>
  <si>
    <t>more money</t>
  </si>
  <si>
    <t>Desimone, Carl</t>
  </si>
  <si>
    <t>DeVito, Tommy</t>
  </si>
  <si>
    <t>BI Developer</t>
  </si>
  <si>
    <t>Brian Champaigne</t>
  </si>
  <si>
    <t>Dickinson, Geoff</t>
  </si>
  <si>
    <t>Dietrich, Jenna</t>
  </si>
  <si>
    <t>DiNocco, Lily</t>
  </si>
  <si>
    <t>Dobrin, Denisa  S</t>
  </si>
  <si>
    <t>Dolan, Linda</t>
  </si>
  <si>
    <t>Dougall, Eric</t>
  </si>
  <si>
    <t>IT Manager - Support</t>
  </si>
  <si>
    <t>Driver, Elle</t>
  </si>
  <si>
    <t>Dunn, Amy</t>
  </si>
  <si>
    <t>Dunne, Amy</t>
  </si>
  <si>
    <t>Eaton, Marianne</t>
  </si>
  <si>
    <t>military</t>
  </si>
  <si>
    <t>Engdahl, Jean</t>
  </si>
  <si>
    <t>England, Rex</t>
  </si>
  <si>
    <t>Erilus, Angela</t>
  </si>
  <si>
    <t>Estremera, Miguel</t>
  </si>
  <si>
    <t>Evensen, April</t>
  </si>
  <si>
    <t>no-call, no-show</t>
  </si>
  <si>
    <t>Exantus, Susan</t>
  </si>
  <si>
    <t>Faller, Megan</t>
  </si>
  <si>
    <t>Fancett, Nicole</t>
  </si>
  <si>
    <t>Ferguson, Susan</t>
  </si>
  <si>
    <t>Fernandes, Nilson</t>
  </si>
  <si>
    <t>Fett, Boba</t>
  </si>
  <si>
    <t>Network Engineer</t>
  </si>
  <si>
    <t>Fidelia,  Libby</t>
  </si>
  <si>
    <t>Fitzpatrick, Michael  J</t>
  </si>
  <si>
    <t>Foreman, Tanya</t>
  </si>
  <si>
    <t>Forrest, Alex</t>
  </si>
  <si>
    <t>Fatal attraction</t>
  </si>
  <si>
    <t>Foss, Jason</t>
  </si>
  <si>
    <t>IT Director</t>
  </si>
  <si>
    <t>Foster-Baker, Amy</t>
  </si>
  <si>
    <t>Board of Directors</t>
  </si>
  <si>
    <t>Fraval, Maruk</t>
  </si>
  <si>
    <t>Galia, Lisa</t>
  </si>
  <si>
    <t>Garcia, Raul</t>
  </si>
  <si>
    <t>Gaul, Barbara</t>
  </si>
  <si>
    <t>Gentry, Mildred</t>
  </si>
  <si>
    <t>Gerke, Melisa</t>
  </si>
  <si>
    <t>Gill, Whitney</t>
  </si>
  <si>
    <t>Gilles, Alex</t>
  </si>
  <si>
    <t>Girifalco, Evelyn</t>
  </si>
  <si>
    <t>Givens, Myriam</t>
  </si>
  <si>
    <t>Goble, Taisha</t>
  </si>
  <si>
    <t>Goeth, Amon</t>
  </si>
  <si>
    <t>Gold, Shenice</t>
  </si>
  <si>
    <t>Gonzalez, Cayo</t>
  </si>
  <si>
    <t>Gonzalez, Juan</t>
  </si>
  <si>
    <t>Gonzalez, Maria</t>
  </si>
  <si>
    <t>Good, Susan</t>
  </si>
  <si>
    <t>Gordon, David</t>
  </si>
  <si>
    <t>Gosciminski, Phylicia</t>
  </si>
  <si>
    <t>Goyal, Roxana</t>
  </si>
  <si>
    <t>Gray, Elijiah</t>
  </si>
  <si>
    <t>Gross, Paula</t>
  </si>
  <si>
    <t>Gruber, Hans</t>
  </si>
  <si>
    <t>Guilianno, Mike</t>
  </si>
  <si>
    <t>Handschiegl, Joanne</t>
  </si>
  <si>
    <t>Hankard, Earnest</t>
  </si>
  <si>
    <t>Harrington, Christie</t>
  </si>
  <si>
    <t>Harrison, Kara</t>
  </si>
  <si>
    <t>Heitzman, Anthony</t>
  </si>
  <si>
    <t>Hendrickson, Trina</t>
  </si>
  <si>
    <t>Hitchcock, Alfred</t>
  </si>
  <si>
    <t>Homberger, Adrienne  J</t>
  </si>
  <si>
    <t>Horton, Jayne</t>
  </si>
  <si>
    <t>Houlihan, Debra</t>
  </si>
  <si>
    <t>Director of Sales</t>
  </si>
  <si>
    <t>Howard, Estelle</t>
  </si>
  <si>
    <t>Administrative Assistant</t>
  </si>
  <si>
    <t>Hudson, Jane</t>
  </si>
  <si>
    <t>Hunts, Julissa</t>
  </si>
  <si>
    <t>Hutter, Rosalie</t>
  </si>
  <si>
    <t>Huynh, Ming</t>
  </si>
  <si>
    <t>Immediato, Walter</t>
  </si>
  <si>
    <t>Ivey, Rose</t>
  </si>
  <si>
    <t>Jackson, Maryellen</t>
  </si>
  <si>
    <t>Jacobi, Hannah</t>
  </si>
  <si>
    <t>Jeannite, Tayana</t>
  </si>
  <si>
    <t>Jhaveri, Sneha</t>
  </si>
  <si>
    <t>Johnson, George</t>
  </si>
  <si>
    <t>Johnson, Noelle</t>
  </si>
  <si>
    <t>Johnston, Yen</t>
  </si>
  <si>
    <t>Jung, Judy</t>
  </si>
  <si>
    <t>Kampew, Donysha</t>
  </si>
  <si>
    <t>maternity leave - did not return</t>
  </si>
  <si>
    <t>Keatts, Kramer</t>
  </si>
  <si>
    <t>Khemmich, Bartholemew</t>
  </si>
  <si>
    <t>King, Janet</t>
  </si>
  <si>
    <t>President &amp; CEO</t>
  </si>
  <si>
    <t>Executive Office</t>
  </si>
  <si>
    <t>Kinsella, Kathleen</t>
  </si>
  <si>
    <t>Kirill, Alexandra</t>
  </si>
  <si>
    <t>Knapp, Bradley  J</t>
  </si>
  <si>
    <t>Kretschmer, John</t>
  </si>
  <si>
    <t>Kreuger, Freddy</t>
  </si>
  <si>
    <t>Lajiri,  Jyoti</t>
  </si>
  <si>
    <t>Landa, Hans</t>
  </si>
  <si>
    <t>Langford, Lindsey</t>
  </si>
  <si>
    <t>Langton, Enrico</t>
  </si>
  <si>
    <t>LaRotonda, William</t>
  </si>
  <si>
    <t>Latif, Mohammed</t>
  </si>
  <si>
    <t>Le, Binh</t>
  </si>
  <si>
    <t>Senior BI Developer</t>
  </si>
  <si>
    <t>Leach, Dallas</t>
  </si>
  <si>
    <t>LeBlanc, Brandon  R</t>
  </si>
  <si>
    <t>Shared Services Manager</t>
  </si>
  <si>
    <t>Lecter, Hannibal</t>
  </si>
  <si>
    <t>Leruth, Giovanni</t>
  </si>
  <si>
    <t>Liebig, Ketsia</t>
  </si>
  <si>
    <t>Linares, Marilyn</t>
  </si>
  <si>
    <t>Linden, Mathew</t>
  </si>
  <si>
    <t>Lindsay, Leonara</t>
  </si>
  <si>
    <t>Lundy, Susan</t>
  </si>
  <si>
    <t>Lunquist, Lisa</t>
  </si>
  <si>
    <t>Lydon, Allison</t>
  </si>
  <si>
    <t>Lynch, Lindsay</t>
  </si>
  <si>
    <t>MacLennan, Samuel</t>
  </si>
  <si>
    <t>Mahoney, Lauren</t>
  </si>
  <si>
    <t>Manchester, Robyn</t>
  </si>
  <si>
    <t>Mancuso, Karen</t>
  </si>
  <si>
    <t>Mangal, Debbie</t>
  </si>
  <si>
    <t>Martin, Sandra</t>
  </si>
  <si>
    <t>Maurice, Shana</t>
  </si>
  <si>
    <t>Carthy, B'rigit</t>
  </si>
  <si>
    <t>Mckenna, Sandy</t>
  </si>
  <si>
    <t>McKinzie, Jac</t>
  </si>
  <si>
    <t>Meads, Elizabeth</t>
  </si>
  <si>
    <t>Medeiros, Jennifer</t>
  </si>
  <si>
    <t>Miller, Brannon</t>
  </si>
  <si>
    <t>Miller, Ned</t>
  </si>
  <si>
    <t>Monkfish, Erasumus</t>
  </si>
  <si>
    <t>Monroe, Peter</t>
  </si>
  <si>
    <t>IT Manager - Infra</t>
  </si>
  <si>
    <t>Monterro, Luisa</t>
  </si>
  <si>
    <t>Moran, Patrick</t>
  </si>
  <si>
    <t>Morway, Tanya</t>
  </si>
  <si>
    <t>Motlagh,  Dawn</t>
  </si>
  <si>
    <t>Moumanil, Maliki</t>
  </si>
  <si>
    <t>Myers, Michael</t>
  </si>
  <si>
    <t>Navathe, Kurt</t>
  </si>
  <si>
    <t>Ndzi, Colombui</t>
  </si>
  <si>
    <t>Ndzi, Horia</t>
  </si>
  <si>
    <t>Newman, Richard</t>
  </si>
  <si>
    <t>Ngodup, Shari</t>
  </si>
  <si>
    <t>Nguyen, Dheepa</t>
  </si>
  <si>
    <t>Nguyen, Lei-Ming</t>
  </si>
  <si>
    <t>Nowlan, Kristie</t>
  </si>
  <si>
    <t>O'hare, Lynn</t>
  </si>
  <si>
    <t>Oliver, Brooke</t>
  </si>
  <si>
    <t>Onque, Jasmine</t>
  </si>
  <si>
    <t>Osturnka, Adeel</t>
  </si>
  <si>
    <t>Owad, Clinton</t>
  </si>
  <si>
    <t>Ozark, Travis</t>
  </si>
  <si>
    <t>Panjwani, Nina</t>
  </si>
  <si>
    <t>Patronick, Lucas</t>
  </si>
  <si>
    <t>Pearson, Randall</t>
  </si>
  <si>
    <t>Smith, Martin</t>
  </si>
  <si>
    <t>Pelletier, Ermine</t>
  </si>
  <si>
    <t>Perry, Shakira</t>
  </si>
  <si>
    <t>medical issues</t>
  </si>
  <si>
    <t>Peters, Lauren</t>
  </si>
  <si>
    <t>Peterson, Ebonee</t>
  </si>
  <si>
    <t>Petingill, Shana</t>
  </si>
  <si>
    <t>Petrowsky, Thelma</t>
  </si>
  <si>
    <t>Pham, Hong</t>
  </si>
  <si>
    <t>Pitt, Brad</t>
  </si>
  <si>
    <t>Potts, Xana</t>
  </si>
  <si>
    <t>Power, Morissa</t>
  </si>
  <si>
    <t>Punjabhi, Louis</t>
  </si>
  <si>
    <t>Purinton, Janine</t>
  </si>
  <si>
    <t>Quinn, Sean</t>
  </si>
  <si>
    <t>Rachael, Maggie</t>
  </si>
  <si>
    <t>Rarrick, Quinn</t>
  </si>
  <si>
    <t>Ren, Kylo</t>
  </si>
  <si>
    <t>Rhoads, Thomas</t>
  </si>
  <si>
    <t>Rivera, Haley</t>
  </si>
  <si>
    <t>Roberson, May</t>
  </si>
  <si>
    <t>Robertson, Peter</t>
  </si>
  <si>
    <t>Robinson, Alain</t>
  </si>
  <si>
    <t>Robinson, Cherly</t>
  </si>
  <si>
    <t>Robinson, Elias</t>
  </si>
  <si>
    <t>Roby, Lori</t>
  </si>
  <si>
    <t>Roehrich, Bianca</t>
  </si>
  <si>
    <t>Principal Data Architect</t>
  </si>
  <si>
    <t>Roper, Katie</t>
  </si>
  <si>
    <t>Data Architect</t>
  </si>
  <si>
    <t>Rose, Ashley</t>
  </si>
  <si>
    <t>Rossetti, Bruno</t>
  </si>
  <si>
    <t>Roup,Simon</t>
  </si>
  <si>
    <t>IT Manager - DB</t>
  </si>
  <si>
    <t>Ruiz, Ricardo</t>
  </si>
  <si>
    <t>Saada, Adell</t>
  </si>
  <si>
    <t>Saar-Beckles, Melinda</t>
  </si>
  <si>
    <t>Sadki, Nore</t>
  </si>
  <si>
    <t>Sahoo, Adil</t>
  </si>
  <si>
    <t>Salter, Jason</t>
  </si>
  <si>
    <t>Sander, Kamrin</t>
  </si>
  <si>
    <t>Sewkumar, Nori</t>
  </si>
  <si>
    <t>Shepard, Anita</t>
  </si>
  <si>
    <t>Shields, Seffi</t>
  </si>
  <si>
    <t>Simard, Kramer</t>
  </si>
  <si>
    <t>Singh, Nan</t>
  </si>
  <si>
    <t>Sloan, Constance</t>
  </si>
  <si>
    <t>Smith, Joe</t>
  </si>
  <si>
    <t>Smith, John</t>
  </si>
  <si>
    <t>Smith, Leigh Ann</t>
  </si>
  <si>
    <t>Smith, Sade</t>
  </si>
  <si>
    <t>Soto, Julia</t>
  </si>
  <si>
    <t>Soze, Keyser</t>
  </si>
  <si>
    <t>Sparks, Taylor</t>
  </si>
  <si>
    <t>Spirea, Kelley</t>
  </si>
  <si>
    <t>Squatrito, Kristen</t>
  </si>
  <si>
    <t>Stanford,Barbara  M</t>
  </si>
  <si>
    <t>Stansfield, Norman</t>
  </si>
  <si>
    <t>Steans, Tyrone</t>
  </si>
  <si>
    <t>Stoica, Rick</t>
  </si>
  <si>
    <t>Strong, Caitrin</t>
  </si>
  <si>
    <t>Sullivan, Kissy</t>
  </si>
  <si>
    <t>Sullivan, Timothy</t>
  </si>
  <si>
    <t>Sutwell, Barbara</t>
  </si>
  <si>
    <t>Szabo, Andrew</t>
  </si>
  <si>
    <t>Tannen, Biff</t>
  </si>
  <si>
    <t>Tavares, Desiree</t>
  </si>
  <si>
    <t>Tejeda, Lenora</t>
  </si>
  <si>
    <t>Terry, Sharlene</t>
  </si>
  <si>
    <t>Theamstern, Sophia</t>
  </si>
  <si>
    <t>Thibaud, Kenneth</t>
  </si>
  <si>
    <t>Tippett, Jeanette</t>
  </si>
  <si>
    <t>Torrence, Jack</t>
  </si>
  <si>
    <t>Trang, Mei</t>
  </si>
  <si>
    <t>Tredinnick, Neville</t>
  </si>
  <si>
    <t>True, Edward</t>
  </si>
  <si>
    <t>Trzeciak, Cybil</t>
  </si>
  <si>
    <t>Turpin, Jumil</t>
  </si>
  <si>
    <t>Valentin,Jackie</t>
  </si>
  <si>
    <t>Veera, Abdellah</t>
  </si>
  <si>
    <t>Vega, Vincent</t>
  </si>
  <si>
    <t>Villanueva, Noah</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</si>
  <si>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</si>
  <si>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</si>
  <si>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</si>
  <si>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</si>
  <si>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</si>
  <si>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</si>
  <si>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</si>
  <si>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</si>
  <si>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</si>
  <si>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</si>
  <si>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</si>
  <si>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</si>
  <si>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Williams, Jacquelyn</t>
  </si>
  <si>
    <t>Winthrop, Jordan</t>
  </si>
  <si>
    <t>Wolk, Hang  T</t>
  </si>
  <si>
    <t>Woodson, Jason</t>
  </si>
  <si>
    <t>Ybarra, Catherine</t>
  </si>
  <si>
    <t>Zamora, Jennifer</t>
  </si>
  <si>
    <t>CIO</t>
  </si>
  <si>
    <t>Zhou, Julia</t>
  </si>
  <si>
    <t>Zima, Colleen</t>
  </si>
  <si>
    <t>Підсумок</t>
  </si>
  <si>
    <t>Age</t>
  </si>
  <si>
    <t>Experience</t>
  </si>
  <si>
    <t>Загальний підсумок</t>
  </si>
  <si>
    <t>Кількість з EmploymentStatus</t>
  </si>
  <si>
    <t>Employee turnover: in which departments there are the most dismissals?</t>
  </si>
  <si>
    <t>Gender/ Employment status</t>
  </si>
  <si>
    <t>Does the turnover differ between men and women?</t>
  </si>
  <si>
    <t>Середнє з Experience</t>
  </si>
  <si>
    <t>Employment Status</t>
  </si>
  <si>
    <t>What is the average experience of the terminated employees?</t>
  </si>
  <si>
    <t>Середнє з Salary</t>
  </si>
  <si>
    <t>Gender</t>
  </si>
  <si>
    <t>Median Salary</t>
  </si>
  <si>
    <t>Is the average salary different for men and women?</t>
  </si>
  <si>
    <t>Кількість з Position</t>
  </si>
  <si>
    <t>Which departments have the highest and lowest salaries?</t>
  </si>
  <si>
    <t>Does salary depend on age?</t>
  </si>
  <si>
    <t>Does total experience affect salary?</t>
  </si>
  <si>
    <t>Total number of employees</t>
  </si>
  <si>
    <t>Average salary</t>
  </si>
  <si>
    <t>Average age of employees</t>
  </si>
  <si>
    <t>Average experience</t>
  </si>
  <si>
    <t>Terminated employees</t>
  </si>
  <si>
    <t>Which part of employees are terminated (both voluntarily and for cause)?</t>
  </si>
  <si>
    <t xml:space="preserve">                                                                                                          Data Analysis for HR Department</t>
  </si>
  <si>
    <t>Project Insights</t>
  </si>
  <si>
    <t>Key Findings</t>
  </si>
  <si>
    <t>Business Interpretation</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</si>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</sst>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09]* #,##0_ ;_-[$$-409]* \-#,##0\ ;_-[$$-409]* &quot;-&quot;??_ ;_-@_ "/>
  </numFmts>
  <fonts count="26"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
      <b/>
      <sz val="14"/>
      <color theme="1"/>
      <name val="Aptos Narrow"/>
      <family val="2"/>
      <scheme val="minor"/>
    </font>
    <font>
      <sz val="14"/>
      <color theme="1"/>
      <name val="Aptos Narrow"/>
      <family val="2"/>
      <scheme val="minor"/>
    </font>
    <font>
      <b/>
      <i/>
      <sz val="11"/>
      <color theme="0"/>
      <name val="Aptos Narrow"/>
      <family val="2"/>
      <scheme val="minor"/>
    </font>
    <font>
      <b/>
      <sz val="11"/>
      <color theme="1"/>
      <name val="Aptos Narrow"/>
      <family val="2"/>
      <scheme val="minor"/>
    </font>
    <font>
      <b/>
      <sz val="16"/>
      <color theme="0"/>
      <name val="Aptos Display"/>
      <family val="2"/>
      <scheme val="major"/>
    </font>
    <font>
      <sz val="16"/>
      <color theme="1"/>
      <name val="Aptos Display"/>
      <family val="2"/>
      <scheme val="major"/>
    </font>
    <font>
      <b/>
      <sz val="16"/>
      <color theme="1"/>
      <name val="Aptos Display"/>
      <family val="2"/>
      <scheme val="major"/>
    </font>
    <font>
      <b/>
      <sz val="14"/>
      <color theme="1"/>
      <name val="Aptos Display"/>
      <family val="2"/>
      <scheme val="maj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3" tint="0.749992370372631"/>
        <bgColor indexed="64"/>
      </patternFill>
    </fill>
    <fill>
      <patternFill patternType="solid">
        <fgColor theme="4" tint="0.79998168889431442"/>
        <bgColor theme="4" tint="0.79998168889431442"/>
      </patternFill>
    </fill>
    <fill>
      <patternFill patternType="solid">
        <fgColor theme="3"/>
        <bgColor indexed="64"/>
      </patternFill>
    </fill>
    <fill>
      <patternFill patternType="solid">
        <fgColor theme="3" tint="0.89999084444715716"/>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14" fontId="0" fillId="0" borderId="0" xfId="0" applyNumberFormat="1"/>
    <xf numFmtId="2" fontId="0" fillId="0" borderId="0" xfId="0" applyNumberFormat="1"/>
    <xf numFmtId="0" fontId="0" fillId="0" borderId="0" xfId="0" applyAlignment="1">
      <alignment horizontal="left"/>
    </xf>
    <xf numFmtId="0" fontId="0" fillId="33" borderId="0" xfId="0" applyFill="1"/>
    <xf numFmtId="0" fontId="0" fillId="33" borderId="0" xfId="0" applyFill="1" applyAlignment="1">
      <alignment horizontal="left"/>
    </xf>
    <xf numFmtId="2" fontId="0" fillId="33" borderId="0" xfId="0" applyNumberFormat="1" applyFill="1"/>
    <xf numFmtId="1" fontId="0" fillId="33" borderId="0" xfId="0" applyNumberFormat="1" applyFill="1"/>
    <xf numFmtId="0" fontId="0" fillId="0" borderId="0" xfId="0" pivotButton="1"/>
    <xf numFmtId="0" fontId="0" fillId="0" borderId="0" xfId="0" applyAlignment="1">
      <alignment horizontal="left" indent="1"/>
    </xf>
    <xf numFmtId="0" fontId="0" fillId="34" borderId="0" xfId="0" applyFill="1"/>
    <xf numFmtId="0" fontId="18" fillId="34" borderId="0" xfId="0" applyFont="1" applyFill="1"/>
    <xf numFmtId="0" fontId="19" fillId="34" borderId="0" xfId="0" applyFont="1" applyFill="1"/>
    <xf numFmtId="164" fontId="0" fillId="0" borderId="0" xfId="0" applyNumberFormat="1"/>
    <xf numFmtId="0" fontId="16" fillId="35" borderId="10" xfId="0" applyFont="1" applyFill="1" applyBorder="1"/>
    <xf numFmtId="1" fontId="0" fillId="0" borderId="0" xfId="0" applyNumberFormat="1"/>
    <xf numFmtId="1" fontId="16" fillId="35" borderId="11" xfId="0" applyNumberFormat="1" applyFont="1" applyFill="1" applyBorder="1"/>
    <xf numFmtId="0" fontId="0" fillId="36" borderId="0" xfId="0" applyFill="1"/>
    <xf numFmtId="0" fontId="0" fillId="38" borderId="0" xfId="0" applyFill="1"/>
    <xf numFmtId="9" fontId="0" fillId="0" borderId="0" xfId="42" applyFont="1"/>
    <xf numFmtId="0" fontId="0" fillId="0" borderId="0" xfId="42" applyNumberFormat="1" applyFont="1"/>
    <xf numFmtId="0" fontId="0" fillId="38" borderId="0" xfId="0" applyFill="1" applyAlignment="1">
      <alignment horizontal="center"/>
    </xf>
    <xf numFmtId="165" fontId="21" fillId="37" borderId="0" xfId="0" applyNumberFormat="1" applyFont="1" applyFill="1" applyAlignment="1">
      <alignment horizontal="right" indent="1" shrinkToFit="1"/>
    </xf>
    <xf numFmtId="165" fontId="21" fillId="37" borderId="0" xfId="0" applyNumberFormat="1" applyFont="1" applyFill="1" applyAlignment="1">
      <alignment vertical="center" shrinkToFit="1"/>
    </xf>
    <xf numFmtId="0" fontId="21" fillId="37" borderId="0" xfId="0" applyFont="1" applyFill="1" applyAlignment="1">
      <alignment horizontal="center" vertical="center"/>
    </xf>
    <xf numFmtId="0" fontId="21" fillId="0" borderId="0" xfId="0" applyFont="1" applyAlignment="1">
      <alignment horizontal="center" vertical="center"/>
    </xf>
    <xf numFmtId="1" fontId="21" fillId="37" borderId="0" xfId="0" applyNumberFormat="1" applyFont="1" applyFill="1" applyAlignment="1">
      <alignment horizontal="center" vertical="center"/>
    </xf>
    <xf numFmtId="1" fontId="21" fillId="0" borderId="0" xfId="0" applyNumberFormat="1" applyFont="1" applyAlignment="1">
      <alignment horizontal="center" vertical="center"/>
    </xf>
    <xf numFmtId="9" fontId="21" fillId="37" borderId="0" xfId="0" applyNumberFormat="1" applyFont="1" applyFill="1" applyAlignment="1">
      <alignment horizontal="center" vertical="center"/>
    </xf>
    <xf numFmtId="0" fontId="22" fillId="36" borderId="0" xfId="0" applyFont="1" applyFill="1" applyAlignment="1">
      <alignment vertical="center"/>
    </xf>
    <xf numFmtId="0" fontId="23" fillId="0" borderId="0" xfId="0" applyFont="1" applyAlignment="1">
      <alignment vertical="center"/>
    </xf>
    <xf numFmtId="0" fontId="20" fillId="36" borderId="0" xfId="0" applyFont="1" applyFill="1" applyAlignment="1">
      <alignment horizontal="center" wrapText="1"/>
    </xf>
    <xf numFmtId="0" fontId="0" fillId="0" borderId="0" xfId="0" applyAlignment="1">
      <alignment horizontal="center" wrapText="1"/>
    </xf>
    <xf numFmtId="0" fontId="20" fillId="36" borderId="0" xfId="0" applyFont="1" applyFill="1" applyAlignment="1">
      <alignment horizontal="center" vertical="center" wrapText="1"/>
    </xf>
    <xf numFmtId="0" fontId="0" fillId="0" borderId="0" xfId="0" applyAlignment="1">
      <alignment horizontal="center" vertical="center" wrapText="1"/>
    </xf>
    <xf numFmtId="0" fontId="24" fillId="34" borderId="0" xfId="0" applyFont="1" applyFill="1"/>
    <xf numFmtId="0" fontId="25" fillId="37" borderId="0" xfId="0" applyFont="1" applyFill="1"/>
    <xf numFmtId="0" fontId="0" fillId="37" borderId="0" xfId="0" applyFill="1"/>
  </cellXfs>
  <cellStyles count="43">
    <cellStyle name="20% – колірна тема 1" xfId="19" builtinId="30" customBuiltin="1"/>
    <cellStyle name="20% – колірна тема 2" xfId="23" builtinId="34" customBuiltin="1"/>
    <cellStyle name="20% – колірна тема 3" xfId="27" builtinId="38" customBuiltin="1"/>
    <cellStyle name="20% – колірна тема 4" xfId="31" builtinId="42" customBuiltin="1"/>
    <cellStyle name="20% – колірна тема 5" xfId="35" builtinId="46" customBuiltin="1"/>
    <cellStyle name="20% – колірна тема 6" xfId="39" builtinId="50" customBuiltin="1"/>
    <cellStyle name="40% – колірна тема 1" xfId="20" builtinId="31" customBuiltin="1"/>
    <cellStyle name="40% – колірна тема 2" xfId="24" builtinId="35" customBuiltin="1"/>
    <cellStyle name="40% – колірна тема 3" xfId="28" builtinId="39" customBuiltin="1"/>
    <cellStyle name="40% – колірна тема 4" xfId="32" builtinId="43" customBuiltin="1"/>
    <cellStyle name="40% – колірна тема 5" xfId="36" builtinId="47" customBuiltin="1"/>
    <cellStyle name="40% – колірна тема 6" xfId="40" builtinId="51" customBuiltin="1"/>
    <cellStyle name="60% – колірна тема 1" xfId="21" builtinId="32" customBuiltin="1"/>
    <cellStyle name="60% – колірна тема 2" xfId="25" builtinId="36" customBuiltin="1"/>
    <cellStyle name="60% – колірна тема 3" xfId="29" builtinId="40" customBuiltin="1"/>
    <cellStyle name="60% – колірна тема 4" xfId="33" builtinId="44" customBuiltin="1"/>
    <cellStyle name="60% – колірна тема 5" xfId="37" builtinId="48" customBuiltin="1"/>
    <cellStyle name="60% – колірна тема 6" xfId="41" builtinId="52" customBuiltin="1"/>
    <cellStyle name="Ввід" xfId="9" builtinId="20" customBuiltin="1"/>
    <cellStyle name="Відсотковий" xfId="42" builtinId="5"/>
    <cellStyle name="Гарний" xfId="6" builtinId="26"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Звичайний" xfId="0" builtinId="0"/>
    <cellStyle name="Зв'язана клітинка" xfId="12" builtinId="24" customBuiltin="1"/>
    <cellStyle name="Колірна тема 1" xfId="18" builtinId="29" customBuiltin="1"/>
    <cellStyle name="Колірна тема 2" xfId="22" builtinId="33" customBuiltin="1"/>
    <cellStyle name="Колірна тема 3" xfId="26" builtinId="37" customBuiltin="1"/>
    <cellStyle name="Колірна тема 4" xfId="30" builtinId="41" customBuiltin="1"/>
    <cellStyle name="Колірна тема 5" xfId="34" builtinId="45" customBuiltin="1"/>
    <cellStyle name="Колірна тема 6" xfId="38" builtinId="49" customBuiltin="1"/>
    <cellStyle name="Контрольна клітинка" xfId="13" builtinId="23" customBuiltin="1"/>
    <cellStyle name="Назва" xfId="1" builtinId="15" customBuiltin="1"/>
    <cellStyle name="Нейтральний" xfId="8" builtinId="28" customBuiltin="1"/>
    <cellStyle name="Обчислення" xfId="11" builtinId="22" customBuiltin="1"/>
    <cellStyle name="Підсумок" xfId="17" builtinId="25" customBuiltin="1"/>
    <cellStyle name="Поганий" xfId="7" builtinId="27" customBuiltin="1"/>
    <cellStyle name="Примітка" xfId="15" builtinId="10" customBuiltin="1"/>
    <cellStyle name="Результат" xfId="10" builtinId="21" customBuiltin="1"/>
    <cellStyle name="Текст попередження" xfId="14" builtinId="11" customBuiltin="1"/>
    <cellStyle name="Текст пояснення" xfId="16" builtinId="53" customBuiltin="1"/>
  </cellStyles>
  <dxfs count="32">
    <dxf>
      <font>
        <color rgb="FF9C0006"/>
      </font>
      <fill>
        <patternFill>
          <bgColor rgb="FFFFC7CE"/>
        </patternFill>
      </fill>
    </dxf>
    <dxf>
      <numFmt numFmtId="1" formatCode="0"/>
      <fill>
        <patternFill patternType="solid">
          <fgColor indexed="64"/>
          <bgColor theme="9"/>
        </patternFill>
      </fill>
    </dxf>
    <dxf>
      <numFmt numFmtId="0" formatCode="General"/>
    </dxf>
    <dxf>
      <numFmt numFmtId="1" formatCode="0"/>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dxf>
    <dxf>
      <numFmt numFmtId="0" formatCode="General"/>
    </dxf>
    <dxf>
      <fill>
        <patternFill patternType="solid">
          <fgColor indexed="64"/>
          <bgColor theme="9"/>
        </patternFill>
      </fil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2" formatCode="0.00"/>
      <fill>
        <patternFill patternType="solid">
          <fgColor indexed="64"/>
          <bgColor theme="9"/>
        </patternFill>
      </fill>
    </dxf>
    <dxf>
      <numFmt numFmtId="2" formatCode="0.00"/>
    </dxf>
    <dxf>
      <fill>
        <patternFill patternType="solid">
          <fgColor indexed="64"/>
          <bgColor theme="9"/>
        </patternFill>
      </fill>
    </dxf>
    <dxf>
      <fill>
        <patternFill patternType="solid">
          <fgColor indexed="64"/>
          <bgColor theme="9"/>
        </patternFill>
      </fill>
    </dxf>
    <dxf>
      <fill>
        <patternFill patternType="solid">
          <fgColor indexed="64"/>
          <bgColor theme="9"/>
        </patternFill>
      </fill>
    </dxf>
    <dxf>
      <numFmt numFmtId="0" formatCode="General"/>
    </dxf>
    <dxf>
      <fill>
        <patternFill patternType="solid">
          <fgColor indexed="64"/>
          <bgColor theme="9"/>
        </patternFill>
      </fill>
    </dxf>
  </dxfs>
  <tableStyles count="0" defaultTableStyle="TableStyleMedium2" defaultPivotStyle="PivotStyleLight16"/>
  <colors>
    <mruColors>
      <color rgb="FFFFCC66"/>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[HRDataset_analysis.xlsx]Turnover_by_department!Зведена таблиця1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t>Employee turnover by department</a:t>
            </a:r>
            <a:endParaRPr lang="uk-UA" b="1"/>
          </a:p>
        </c:rich>
      </c:tx>
      <c:layout>
        <c:manualLayout>
          <c:xMode val="edge"/>
          <c:yMode val="edge"/>
          <c:x val="0.21669982157193932"/>
          <c:y val="3.579656475524829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uk-UA"/>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
        <c:idx val="5"/>
        <c:spPr>
          <a:solidFill>
            <a:schemeClr val="accent1">
              <a:alpha val="70000"/>
            </a:schemeClr>
          </a:solidFill>
          <a:ln>
            <a:noFill/>
          </a:ln>
          <a:effectLst/>
        </c:spPr>
      </c:pivotFmt>
      <c:pivotFmt>
        <c:idx val="6"/>
        <c:spPr>
          <a:solidFill>
            <a:schemeClr val="accent1">
              <a:alpha val="70000"/>
            </a:schemeClr>
          </a:solidFill>
          <a:ln>
            <a:noFill/>
          </a:ln>
          <a:effectLst/>
        </c:spPr>
      </c:pivotFmt>
      <c:pivotFmt>
        <c:idx val="7"/>
        <c:spPr>
          <a:solidFill>
            <a:schemeClr val="accent1">
              <a:alpha val="70000"/>
            </a:schemeClr>
          </a:solidFill>
          <a:ln>
            <a:noFill/>
          </a:ln>
          <a:effectLst/>
        </c:spPr>
      </c:pivotFmt>
      <c:pivotFmt>
        <c:idx val="8"/>
        <c:spPr>
          <a:solidFill>
            <a:schemeClr val="accent1">
              <a:alpha val="70000"/>
            </a:schemeClr>
          </a:solidFill>
          <a:ln>
            <a:noFill/>
          </a:ln>
          <a:effectLst/>
        </c:spPr>
      </c:pivotFmt>
      <c:pivotFmt>
        <c:idx val="9"/>
        <c:spPr>
          <a:solidFill>
            <a:schemeClr val="accent1">
              <a:alpha val="70000"/>
            </a:schemeClr>
          </a:solidFill>
          <a:ln>
            <a:noFill/>
          </a:ln>
          <a:effectLst/>
        </c:spPr>
      </c:pivotFmt>
      <c:pivotFmt>
        <c:idx val="10"/>
        <c:spPr>
          <a:solidFill>
            <a:schemeClr val="accent1">
              <a:alpha val="70000"/>
            </a:schemeClr>
          </a:solidFill>
          <a:ln>
            <a:noFill/>
          </a:ln>
          <a:effectLst/>
        </c:spPr>
      </c:pivotFmt>
      <c:pivotFmt>
        <c:idx val="11"/>
        <c:spPr>
          <a:solidFill>
            <a:schemeClr val="tx2">
              <a:lumMod val="50000"/>
              <a:lumOff val="50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50000"/>
              <a:lumOff val="50000"/>
            </a:schemeClr>
          </a:solidFill>
          <a:ln>
            <a:noFill/>
          </a:ln>
          <a:effectLst/>
        </c:spPr>
      </c:pivotFmt>
      <c:pivotFmt>
        <c:idx val="14"/>
        <c:spPr>
          <a:solidFill>
            <a:schemeClr val="tx2">
              <a:lumMod val="50000"/>
              <a:lumOff val="50000"/>
            </a:schemeClr>
          </a:solidFill>
          <a:ln>
            <a:noFill/>
          </a:ln>
          <a:effectLst/>
        </c:spPr>
      </c:pivotFmt>
      <c:pivotFmt>
        <c:idx val="15"/>
        <c:spPr>
          <a:solidFill>
            <a:schemeClr val="tx2">
              <a:lumMod val="50000"/>
              <a:lumOff val="50000"/>
            </a:schemeClr>
          </a:solidFill>
          <a:ln>
            <a:noFill/>
          </a:ln>
          <a:effectLst/>
        </c:spPr>
      </c:pivotFmt>
      <c:pivotFmt>
        <c:idx val="16"/>
        <c:spPr>
          <a:solidFill>
            <a:schemeClr val="tx2">
              <a:lumMod val="50000"/>
              <a:lumOff val="50000"/>
            </a:schemeClr>
          </a:solidFill>
          <a:ln>
            <a:noFill/>
          </a:ln>
          <a:effectLst/>
        </c:spPr>
      </c:pivotFmt>
    </c:pivotFmts>
    <c:plotArea>
      <c:layout/>
      <c:barChart>
        <c:barDir val="col"/>
        <c:grouping val="clustered"/>
        <c:varyColors val="0"/>
        <c:ser>
          <c:idx val="0"/>
          <c:order val="0"/>
          <c:tx>
            <c:strRef>
              <c:f>Turnover_by_department!$B$3</c:f>
              <c:strCache>
                <c:ptCount val="1"/>
                <c:pt idx="0">
                  <c:v>Підсумок</c:v>
                </c:pt>
              </c:strCache>
            </c:strRef>
          </c:tx>
          <c:spPr>
            <a:solidFill>
              <a:schemeClr val="accent1">
                <a:alpha val="70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C-FA06-4028-BE17-44146E786864}"/>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D-FA06-4028-BE17-44146E786864}"/>
              </c:ext>
            </c:extLst>
          </c:dPt>
          <c:dPt>
            <c:idx val="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E-FA06-4028-BE17-44146E786864}"/>
              </c:ext>
            </c:extLst>
          </c:dPt>
          <c:dPt>
            <c:idx val="9"/>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F-FA06-4028-BE17-44146E786864}"/>
              </c:ext>
            </c:extLst>
          </c:dPt>
          <c:dPt>
            <c:idx val="1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10-FA06-4028-BE17-44146E786864}"/>
              </c:ext>
            </c:extLst>
          </c:dPt>
          <c:dPt>
            <c:idx val="15"/>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11-FA06-4028-BE17-44146E786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Turnover_by_department!$A$4:$A$26</c:f>
              <c:multiLvlStrCache>
                <c:ptCount val="16"/>
                <c:lvl>
                  <c:pt idx="0">
                    <c:v>Active</c:v>
                  </c:pt>
                  <c:pt idx="1">
                    <c:v>Terminated for Cause</c:v>
                  </c:pt>
                  <c:pt idx="2">
                    <c:v>Voluntarily Terminated</c:v>
                  </c:pt>
                  <c:pt idx="3">
                    <c:v>Active</c:v>
                  </c:pt>
                  <c:pt idx="4">
                    <c:v>Terminated for Cause</c:v>
                  </c:pt>
                  <c:pt idx="5">
                    <c:v>Voluntarily Terminated</c:v>
                  </c:pt>
                  <c:pt idx="6">
                    <c:v>Active</c:v>
                  </c:pt>
                  <c:pt idx="7">
                    <c:v>Terminated for Cause</c:v>
                  </c:pt>
                  <c:pt idx="8">
                    <c:v>Voluntarily Terminated</c:v>
                  </c:pt>
                  <c:pt idx="9">
                    <c:v>Active</c:v>
                  </c:pt>
                  <c:pt idx="10">
                    <c:v>Terminated for Cause</c:v>
                  </c:pt>
                  <c:pt idx="11">
                    <c:v>Voluntarily Terminated</c:v>
                  </c:pt>
                  <c:pt idx="12">
                    <c:v>Active</c:v>
                  </c:pt>
                  <c:pt idx="13">
                    <c:v>Terminated for Cause</c:v>
                  </c:pt>
                  <c:pt idx="14">
                    <c:v>Voluntarily Terminated</c:v>
                  </c:pt>
                  <c:pt idx="15">
                    <c:v>Active</c:v>
                  </c:pt>
                </c:lvl>
                <c:lvl>
                  <c:pt idx="0">
                    <c:v>Production</c:v>
                  </c:pt>
                  <c:pt idx="3">
                    <c:v>IT/IS</c:v>
                  </c:pt>
                  <c:pt idx="6">
                    <c:v>Sales</c:v>
                  </c:pt>
                  <c:pt idx="9">
                    <c:v>Software Engineering</c:v>
                  </c:pt>
                  <c:pt idx="12">
                    <c:v>Admin Offices</c:v>
                  </c:pt>
                  <c:pt idx="15">
                    <c:v>Executive Office</c:v>
                  </c:pt>
                </c:lvl>
              </c:multiLvlStrCache>
            </c:multiLvlStrRef>
          </c:cat>
          <c:val>
            <c:numRef>
              <c:f>Turnover_by_department!$B$4:$B$26</c:f>
              <c:numCache>
                <c:formatCode>General</c:formatCode>
                <c:ptCount val="16"/>
                <c:pt idx="0">
                  <c:v>126</c:v>
                </c:pt>
                <c:pt idx="1">
                  <c:v>8</c:v>
                </c:pt>
                <c:pt idx="2">
                  <c:v>75</c:v>
                </c:pt>
                <c:pt idx="3">
                  <c:v>40</c:v>
                </c:pt>
                <c:pt idx="4">
                  <c:v>4</c:v>
                </c:pt>
                <c:pt idx="5">
                  <c:v>6</c:v>
                </c:pt>
                <c:pt idx="6">
                  <c:v>26</c:v>
                </c:pt>
                <c:pt idx="7">
                  <c:v>2</c:v>
                </c:pt>
                <c:pt idx="8">
                  <c:v>3</c:v>
                </c:pt>
                <c:pt idx="9">
                  <c:v>7</c:v>
                </c:pt>
                <c:pt idx="10">
                  <c:v>1</c:v>
                </c:pt>
                <c:pt idx="11">
                  <c:v>3</c:v>
                </c:pt>
                <c:pt idx="12">
                  <c:v>7</c:v>
                </c:pt>
                <c:pt idx="13">
                  <c:v>1</c:v>
                </c:pt>
                <c:pt idx="14">
                  <c:v>1</c:v>
                </c:pt>
                <c:pt idx="15">
                  <c:v>1</c:v>
                </c:pt>
              </c:numCache>
            </c:numRef>
          </c:val>
          <c:extLst>
            <c:ext xmlns:c16="http://schemas.microsoft.com/office/drawing/2014/chart" uri="{C3380CC4-5D6E-409C-BE32-E72D297353CC}">
              <c16:uniqueId val="{00000000-FA06-4028-BE17-44146E786864}"/>
            </c:ext>
          </c:extLst>
        </c:ser>
        <c:dLbls>
          <c:dLblPos val="outEnd"/>
          <c:showLegendKey val="0"/>
          <c:showVal val="1"/>
          <c:showCatName val="0"/>
          <c:showSerName val="0"/>
          <c:showPercent val="0"/>
          <c:showBubbleSize val="0"/>
        </c:dLbls>
        <c:gapWidth val="80"/>
        <c:overlap val="25"/>
        <c:axId val="1003141152"/>
        <c:axId val="1003140672"/>
      </c:barChart>
      <c:catAx>
        <c:axId val="100314115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uk-UA"/>
          </a:p>
        </c:txPr>
        <c:crossAx val="1003140672"/>
        <c:crosses val="autoZero"/>
        <c:auto val="1"/>
        <c:lblAlgn val="ctr"/>
        <c:lblOffset val="100"/>
        <c:noMultiLvlLbl val="0"/>
      </c:catAx>
      <c:valAx>
        <c:axId val="100314067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uk-UA"/>
          </a:p>
        </c:txPr>
        <c:crossAx val="1003141152"/>
        <c:crosses val="autoZero"/>
        <c:crossBetween val="between"/>
      </c:valAx>
      <c:spPr>
        <a:solidFill>
          <a:schemeClr val="bg1">
            <a:lumMod val="95000"/>
            <a:alpha val="93000"/>
          </a:schemeClr>
        </a:solidFill>
        <a:ln>
          <a:solidFill>
            <a:schemeClr val="accent1">
              <a:alpha val="9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[HRDataset_analysis.xlsx]Turnover_by_gender!Зведена таблиця1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Employee turnover by gender</a:t>
            </a:r>
            <a:endParaRPr lang="uk-UA"/>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uk-UA"/>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pivotFmt>
      <c:pivotFmt>
        <c:idx val="2"/>
        <c:spPr>
          <a:solidFill>
            <a:schemeClr val="accent5">
              <a:lumMod val="40000"/>
              <a:lumOff val="60000"/>
            </a:schemeClr>
          </a:solidFill>
          <a:ln>
            <a:noFill/>
          </a:ln>
          <a:effectLst/>
        </c:spPr>
      </c:pivotFmt>
      <c:pivotFmt>
        <c:idx val="3"/>
        <c:spPr>
          <a:solidFill>
            <a:schemeClr val="accent5">
              <a:lumMod val="40000"/>
              <a:lumOff val="60000"/>
            </a:schemeClr>
          </a:solidFill>
          <a:ln>
            <a:noFill/>
          </a:ln>
          <a:effectLst/>
        </c:spPr>
      </c:pivotFmt>
      <c:pivotFmt>
        <c:idx val="4"/>
        <c:spPr>
          <a:solidFill>
            <a:schemeClr val="tx2">
              <a:lumMod val="25000"/>
              <a:lumOff val="75000"/>
            </a:schemeClr>
          </a:solidFill>
          <a:ln>
            <a:noFill/>
          </a:ln>
          <a:effectLst/>
        </c:spPr>
      </c:pivotFmt>
      <c:pivotFmt>
        <c:idx val="5"/>
        <c:spPr>
          <a:solidFill>
            <a:schemeClr val="tx2">
              <a:lumMod val="25000"/>
              <a:lumOff val="75000"/>
            </a:schemeClr>
          </a:solidFill>
          <a:ln>
            <a:noFill/>
          </a:ln>
          <a:effectLst/>
        </c:spPr>
      </c:pivotFmt>
      <c:pivotFmt>
        <c:idx val="6"/>
        <c:spPr>
          <a:solidFill>
            <a:schemeClr val="tx2">
              <a:lumMod val="25000"/>
              <a:lumOff val="75000"/>
            </a:schemeClr>
          </a:solidFill>
          <a:ln>
            <a:noFill/>
          </a:ln>
          <a:effectLst/>
        </c:spPr>
      </c:pivotFmt>
    </c:pivotFmts>
    <c:plotArea>
      <c:layout/>
      <c:barChart>
        <c:barDir val="col"/>
        <c:grouping val="clustered"/>
        <c:varyColors val="0"/>
        <c:ser>
          <c:idx val="0"/>
          <c:order val="0"/>
          <c:tx>
            <c:strRef>
              <c:f>Turnover_by_gender!$B$3</c:f>
              <c:strCache>
                <c:ptCount val="1"/>
                <c:pt idx="0">
                  <c:v>Підсумок</c:v>
                </c:pt>
              </c:strCache>
            </c:strRef>
          </c:tx>
          <c:spPr>
            <a:solidFill>
              <a:schemeClr val="accent1">
                <a:alpha val="7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BDAD-43E8-9672-982F4FBBE835}"/>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BDAD-43E8-9672-982F4FBBE835}"/>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BDAD-43E8-9672-982F4FBBE835}"/>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BDAD-43E8-9672-982F4FBBE835}"/>
              </c:ext>
            </c:extLst>
          </c:dPt>
          <c:dPt>
            <c:idx val="4"/>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6-BDAD-43E8-9672-982F4FBBE835}"/>
              </c:ext>
            </c:extLst>
          </c:dPt>
          <c:dPt>
            <c:idx val="5"/>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BDAD-43E8-9672-982F4FBBE8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Turnover_by_gender!$A$4:$A$12</c:f>
              <c:multiLvlStrCache>
                <c:ptCount val="6"/>
                <c:lvl>
                  <c:pt idx="0">
                    <c:v>Active</c:v>
                  </c:pt>
                  <c:pt idx="1">
                    <c:v>Terminated for Cause</c:v>
                  </c:pt>
                  <c:pt idx="2">
                    <c:v>Voluntarily Terminated</c:v>
                  </c:pt>
                  <c:pt idx="3">
                    <c:v>Active</c:v>
                  </c:pt>
                  <c:pt idx="4">
                    <c:v>Terminated for Cause</c:v>
                  </c:pt>
                  <c:pt idx="5">
                    <c:v>Voluntarily Terminated</c:v>
                  </c:pt>
                </c:lvl>
                <c:lvl>
                  <c:pt idx="0">
                    <c:v>F</c:v>
                  </c:pt>
                  <c:pt idx="3">
                    <c:v>M </c:v>
                  </c:pt>
                </c:lvl>
              </c:multiLvlStrCache>
            </c:multiLvlStrRef>
          </c:cat>
          <c:val>
            <c:numRef>
              <c:f>Turnover_by_gender!$B$4:$B$12</c:f>
              <c:numCache>
                <c:formatCode>General</c:formatCode>
                <c:ptCount val="6"/>
                <c:pt idx="0">
                  <c:v>116</c:v>
                </c:pt>
                <c:pt idx="1">
                  <c:v>9</c:v>
                </c:pt>
                <c:pt idx="2">
                  <c:v>51</c:v>
                </c:pt>
                <c:pt idx="3">
                  <c:v>91</c:v>
                </c:pt>
                <c:pt idx="4">
                  <c:v>7</c:v>
                </c:pt>
                <c:pt idx="5">
                  <c:v>37</c:v>
                </c:pt>
              </c:numCache>
            </c:numRef>
          </c:val>
          <c:extLst>
            <c:ext xmlns:c16="http://schemas.microsoft.com/office/drawing/2014/chart" uri="{C3380CC4-5D6E-409C-BE32-E72D297353CC}">
              <c16:uniqueId val="{00000000-BDAD-43E8-9672-982F4FBBE835}"/>
            </c:ext>
          </c:extLst>
        </c:ser>
        <c:dLbls>
          <c:showLegendKey val="0"/>
          <c:showVal val="0"/>
          <c:showCatName val="0"/>
          <c:showSerName val="0"/>
          <c:showPercent val="0"/>
          <c:showBubbleSize val="0"/>
        </c:dLbls>
        <c:gapWidth val="80"/>
        <c:overlap val="25"/>
        <c:axId val="760905679"/>
        <c:axId val="760891279"/>
      </c:barChart>
      <c:catAx>
        <c:axId val="76090567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uk-UA"/>
          </a:p>
        </c:txPr>
        <c:crossAx val="760891279"/>
        <c:crosses val="autoZero"/>
        <c:auto val="1"/>
        <c:lblAlgn val="ctr"/>
        <c:lblOffset val="100"/>
        <c:noMultiLvlLbl val="0"/>
      </c:catAx>
      <c:valAx>
        <c:axId val="76089127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uk-UA"/>
          </a:p>
        </c:txPr>
        <c:crossAx val="760905679"/>
        <c:crosses val="autoZero"/>
        <c:crossBetween val="between"/>
      </c:valAx>
      <c:spPr>
        <a:solidFill>
          <a:schemeClr val="bg1">
            <a:lumMod val="95000"/>
          </a:schemeClr>
        </a:soli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[HRDataset_analysis.xlsx]Turnover_by_experience!Зведена таблиця1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ysClr val="windowText" lastClr="000000"/>
                </a:solidFill>
              </a:rPr>
              <a:t>The average experience of the terminated employees</a:t>
            </a:r>
            <a:endParaRPr lang="uk-UA" sz="1400">
              <a:solidFill>
                <a:sysClr val="windowText" lastClr="000000"/>
              </a:solidFill>
            </a:endParaRPr>
          </a:p>
        </c:rich>
      </c:tx>
      <c:layout>
        <c:manualLayout>
          <c:xMode val="edge"/>
          <c:yMode val="edge"/>
          <c:x val="0.1705207786526684"/>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uk-U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Turnover_by_experience!$B$3</c:f>
              <c:strCache>
                <c:ptCount val="1"/>
                <c:pt idx="0">
                  <c:v>Підсумок</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Turnover_by_experience!$A$4:$A$7</c:f>
              <c:strCache>
                <c:ptCount val="3"/>
                <c:pt idx="0">
                  <c:v>Active</c:v>
                </c:pt>
                <c:pt idx="1">
                  <c:v>Terminated for Cause</c:v>
                </c:pt>
                <c:pt idx="2">
                  <c:v>Voluntarily Terminated</c:v>
                </c:pt>
              </c:strCache>
            </c:strRef>
          </c:cat>
          <c:val>
            <c:numRef>
              <c:f>Turnover_by_experience!$B$4:$B$7</c:f>
              <c:numCache>
                <c:formatCode>0.0</c:formatCode>
                <c:ptCount val="3"/>
                <c:pt idx="0">
                  <c:v>11.768115942028986</c:v>
                </c:pt>
                <c:pt idx="1">
                  <c:v>3.0625</c:v>
                </c:pt>
                <c:pt idx="2">
                  <c:v>3.0795454545454546</c:v>
                </c:pt>
              </c:numCache>
            </c:numRef>
          </c:val>
          <c:extLst>
            <c:ext xmlns:c16="http://schemas.microsoft.com/office/drawing/2014/chart" uri="{C3380CC4-5D6E-409C-BE32-E72D297353CC}">
              <c16:uniqueId val="{00000000-54BC-4432-A5D7-541394251554}"/>
            </c:ext>
          </c:extLst>
        </c:ser>
        <c:dLbls>
          <c:showLegendKey val="0"/>
          <c:showVal val="0"/>
          <c:showCatName val="0"/>
          <c:showSerName val="0"/>
          <c:showPercent val="0"/>
          <c:showBubbleSize val="0"/>
        </c:dLbls>
        <c:gapWidth val="115"/>
        <c:overlap val="-20"/>
        <c:axId val="425949696"/>
        <c:axId val="425950176"/>
      </c:barChart>
      <c:catAx>
        <c:axId val="425949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425950176"/>
        <c:crosses val="autoZero"/>
        <c:auto val="1"/>
        <c:lblAlgn val="ctr"/>
        <c:lblOffset val="100"/>
        <c:noMultiLvlLbl val="0"/>
      </c:catAx>
      <c:valAx>
        <c:axId val="4259501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425949696"/>
        <c:crosses val="autoZero"/>
        <c:crossBetween val="between"/>
      </c:valAx>
      <c:spPr>
        <a:solidFill>
          <a:schemeClr val="bg1">
            <a:lumMod val="95000"/>
          </a:schemeClr>
        </a:solid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[HRDataset_analysis.xlsx]Salary_by_gender!Зведена таблиця1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salary by gender</a:t>
            </a:r>
            <a:endParaRPr lang="uk-UA"/>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k-U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12700">
            <a:solidFill>
              <a:schemeClr val="accent1">
                <a:alpha val="94000"/>
              </a:schemeClr>
            </a:solidFill>
          </a:ln>
          <a:effectLst/>
        </c:spPr>
        <c:dLbl>
          <c:idx val="0"/>
          <c:layout>
            <c:manualLayout>
              <c:x val="7.3211314475873548E-2"/>
              <c:y val="-0.1422708618331053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BEDA332-83F7-41F6-9FD3-A60EF5221A5E}" type="VALUE">
                  <a:rPr lang="en-US"/>
                  <a:pPr>
                    <a:defRPr/>
                  </a:pPr>
                  <a:t>[ЗНАЧЕННЯ]</a:t>
                </a:fld>
                <a:r>
                  <a:rPr lang="en-US"/>
                  <a:t>; </a:t>
                </a:r>
              </a:p>
              <a:p>
                <a:pPr>
                  <a:defRPr/>
                </a:pPr>
                <a:r>
                  <a:rPr lang="en-US"/>
                  <a:t>47,6%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25000"/>
              <a:lumOff val="75000"/>
            </a:schemeClr>
          </a:solidFill>
          <a:ln w="12700">
            <a:solidFill>
              <a:schemeClr val="accent1">
                <a:alpha val="94000"/>
              </a:schemeClr>
            </a:solidFill>
          </a:ln>
          <a:effectLst/>
        </c:spPr>
        <c:dLbl>
          <c:idx val="0"/>
          <c:layout>
            <c:manualLayout>
              <c:x val="0.16081334371754932"/>
              <c:y val="-2.568687146638009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F986C1A3-5A66-4486-9B5D-8C05BD5FAF13}" type="VALUE">
                  <a:rPr lang="en-US"/>
                  <a:pPr>
                    <a:defRPr/>
                  </a:pPr>
                  <a:t>[ЗНАЧЕННЯ]</a:t>
                </a:fld>
                <a:r>
                  <a:rPr lang="en-US"/>
                  <a:t>; </a:t>
                </a:r>
              </a:p>
              <a:p>
                <a:pPr>
                  <a:defRPr/>
                </a:pPr>
                <a:r>
                  <a:rPr lang="en-US"/>
                  <a:t>52,4%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Salary_by_gender!$B$3</c:f>
              <c:strCache>
                <c:ptCount val="1"/>
                <c:pt idx="0">
                  <c:v>Підсумок</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alpha val="94000"/>
                </a:schemeClr>
              </a:solidFill>
            </a:ln>
            <a:effectLst/>
          </c:spPr>
          <c:invertIfNegative val="0"/>
          <c:dPt>
            <c:idx val="0"/>
            <c:invertIfNegative val="0"/>
            <c:bubble3D val="0"/>
            <c:spPr>
              <a:solidFill>
                <a:schemeClr val="accent5">
                  <a:lumMod val="40000"/>
                  <a:lumOff val="60000"/>
                </a:schemeClr>
              </a:solidFill>
              <a:ln w="12700">
                <a:solidFill>
                  <a:schemeClr val="accent1">
                    <a:alpha val="94000"/>
                  </a:schemeClr>
                </a:solidFill>
              </a:ln>
              <a:effectLst/>
            </c:spPr>
            <c:extLst>
              <c:ext xmlns:c16="http://schemas.microsoft.com/office/drawing/2014/chart" uri="{C3380CC4-5D6E-409C-BE32-E72D297353CC}">
                <c16:uniqueId val="{00000002-E845-4348-9493-BE3DE44AEBB2}"/>
              </c:ext>
            </c:extLst>
          </c:dPt>
          <c:dPt>
            <c:idx val="1"/>
            <c:invertIfNegative val="0"/>
            <c:bubble3D val="0"/>
            <c:spPr>
              <a:solidFill>
                <a:schemeClr val="tx2">
                  <a:lumMod val="25000"/>
                  <a:lumOff val="75000"/>
                </a:schemeClr>
              </a:solidFill>
              <a:ln w="12700">
                <a:solidFill>
                  <a:schemeClr val="accent1">
                    <a:alpha val="94000"/>
                  </a:schemeClr>
                </a:solidFill>
              </a:ln>
              <a:effectLst/>
            </c:spPr>
            <c:extLst>
              <c:ext xmlns:c16="http://schemas.microsoft.com/office/drawing/2014/chart" uri="{C3380CC4-5D6E-409C-BE32-E72D297353CC}">
                <c16:uniqueId val="{00000003-E845-4348-9493-BE3DE44AEBB2}"/>
              </c:ext>
            </c:extLst>
          </c:dPt>
          <c:dLbls>
            <c:dLbl>
              <c:idx val="0"/>
              <c:layout>
                <c:manualLayout>
                  <c:x val="7.3211314475873548E-2"/>
                  <c:y val="-0.14227086183310533"/>
                </c:manualLayout>
              </c:layout>
              <c:tx>
                <c:rich>
                  <a:bodyPr/>
                  <a:lstStyle/>
                  <a:p>
                    <a:fld id="{CBEDA332-83F7-41F6-9FD3-A60EF5221A5E}" type="VALUE">
                      <a:rPr lang="en-US"/>
                      <a:pPr/>
                      <a:t>[ЗНАЧЕННЯ]</a:t>
                    </a:fld>
                    <a:r>
                      <a:rPr lang="en-US"/>
                      <a:t>; </a:t>
                    </a:r>
                  </a:p>
                  <a:p>
                    <a:r>
                      <a:rPr lang="en-US"/>
                      <a:t>47,6%</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845-4348-9493-BE3DE44AEBB2}"/>
                </c:ext>
              </c:extLst>
            </c:dLbl>
            <c:dLbl>
              <c:idx val="1"/>
              <c:layout>
                <c:manualLayout>
                  <c:x val="0.16081334371754932"/>
                  <c:y val="-2.5686871466380095E-3"/>
                </c:manualLayout>
              </c:layout>
              <c:tx>
                <c:rich>
                  <a:bodyPr/>
                  <a:lstStyle/>
                  <a:p>
                    <a:fld id="{F986C1A3-5A66-4486-9B5D-8C05BD5FAF13}" type="VALUE">
                      <a:rPr lang="en-US"/>
                      <a:pPr/>
                      <a:t>[ЗНАЧЕННЯ]</a:t>
                    </a:fld>
                    <a:r>
                      <a:rPr lang="en-US"/>
                      <a:t>; </a:t>
                    </a:r>
                  </a:p>
                  <a:p>
                    <a:r>
                      <a:rPr lang="en-US"/>
                      <a:t>52,4%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845-4348-9493-BE3DE44AEB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Salary_by_gender!$A$4:$A$6</c:f>
              <c:strCache>
                <c:ptCount val="2"/>
                <c:pt idx="0">
                  <c:v>F</c:v>
                </c:pt>
                <c:pt idx="1">
                  <c:v>M </c:v>
                </c:pt>
              </c:strCache>
            </c:strRef>
          </c:cat>
          <c:val>
            <c:numRef>
              <c:f>Salary_by_gender!$B$4:$B$6</c:f>
              <c:numCache>
                <c:formatCode>0</c:formatCode>
                <c:ptCount val="2"/>
                <c:pt idx="0">
                  <c:v>67786.727272727279</c:v>
                </c:pt>
                <c:pt idx="1">
                  <c:v>70629.399999999994</c:v>
                </c:pt>
              </c:numCache>
            </c:numRef>
          </c:val>
          <c:extLst>
            <c:ext xmlns:c16="http://schemas.microsoft.com/office/drawing/2014/chart" uri="{C3380CC4-5D6E-409C-BE32-E72D297353CC}">
              <c16:uniqueId val="{00000000-E845-4348-9493-BE3DE44AEBB2}"/>
            </c:ext>
          </c:extLst>
        </c:ser>
        <c:dLbls>
          <c:showLegendKey val="0"/>
          <c:showVal val="0"/>
          <c:showCatName val="0"/>
          <c:showSerName val="0"/>
          <c:showPercent val="0"/>
          <c:showBubbleSize val="0"/>
        </c:dLbls>
        <c:gapWidth val="100"/>
        <c:axId val="19026335"/>
        <c:axId val="2134147343"/>
      </c:barChart>
      <c:catAx>
        <c:axId val="190263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crossAx val="2134147343"/>
        <c:crosses val="autoZero"/>
        <c:auto val="1"/>
        <c:lblAlgn val="ctr"/>
        <c:lblOffset val="100"/>
        <c:noMultiLvlLbl val="0"/>
      </c:catAx>
      <c:valAx>
        <c:axId val="2134147343"/>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crossAx val="1902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[HRDataset_analysis.xlsx]Salary_by_department!Зведена таблиця1</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rPr>
              <a:t>Average salary by departments</a:t>
            </a:r>
            <a:endParaRPr lang="uk-UA" b="1">
              <a:solidFill>
                <a:sysClr val="windowText" lastClr="000000"/>
              </a:solidFill>
            </a:endParaRPr>
          </a:p>
        </c:rich>
      </c:tx>
      <c:layout>
        <c:manualLayout>
          <c:xMode val="edge"/>
          <c:yMode val="edge"/>
          <c:x val="0.24800678040244969"/>
          <c:y val="2.314814814814814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uk-UA"/>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Salary_by_department!$B$3</c:f>
              <c:strCache>
                <c:ptCount val="1"/>
                <c:pt idx="0">
                  <c:v>Середнє з Salary</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Salary_by_department!$A$4:$A$10</c:f>
              <c:strCache>
                <c:ptCount val="6"/>
                <c:pt idx="0">
                  <c:v>Executive Office</c:v>
                </c:pt>
                <c:pt idx="1">
                  <c:v>IT/IS</c:v>
                </c:pt>
                <c:pt idx="2">
                  <c:v>Software Engineering</c:v>
                </c:pt>
                <c:pt idx="3">
                  <c:v>Admin Offices</c:v>
                </c:pt>
                <c:pt idx="4">
                  <c:v>Sales</c:v>
                </c:pt>
                <c:pt idx="5">
                  <c:v>Production</c:v>
                </c:pt>
              </c:strCache>
            </c:strRef>
          </c:cat>
          <c:val>
            <c:numRef>
              <c:f>Salary_by_department!$B$4:$B$10</c:f>
              <c:numCache>
                <c:formatCode>0</c:formatCode>
                <c:ptCount val="6"/>
                <c:pt idx="0">
                  <c:v>250000</c:v>
                </c:pt>
                <c:pt idx="1">
                  <c:v>97064.639999999999</c:v>
                </c:pt>
                <c:pt idx="2">
                  <c:v>94989.454545454544</c:v>
                </c:pt>
                <c:pt idx="3">
                  <c:v>71791.888888888891</c:v>
                </c:pt>
                <c:pt idx="4">
                  <c:v>69061.258064516136</c:v>
                </c:pt>
                <c:pt idx="5">
                  <c:v>59953.545454545456</c:v>
                </c:pt>
              </c:numCache>
            </c:numRef>
          </c:val>
          <c:extLst>
            <c:ext xmlns:c16="http://schemas.microsoft.com/office/drawing/2014/chart" uri="{C3380CC4-5D6E-409C-BE32-E72D297353CC}">
              <c16:uniqueId val="{00000000-072A-4E17-A90B-684B271A0D8D}"/>
            </c:ext>
          </c:extLst>
        </c:ser>
        <c:ser>
          <c:idx val="1"/>
          <c:order val="1"/>
          <c:tx>
            <c:strRef>
              <c:f>Salary_by_department!$C$3</c:f>
              <c:strCache>
                <c:ptCount val="1"/>
                <c:pt idx="0">
                  <c:v>Кількість з Position</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Salary_by_department!$A$4:$A$10</c:f>
              <c:strCache>
                <c:ptCount val="6"/>
                <c:pt idx="0">
                  <c:v>Executive Office</c:v>
                </c:pt>
                <c:pt idx="1">
                  <c:v>IT/IS</c:v>
                </c:pt>
                <c:pt idx="2">
                  <c:v>Software Engineering</c:v>
                </c:pt>
                <c:pt idx="3">
                  <c:v>Admin Offices</c:v>
                </c:pt>
                <c:pt idx="4">
                  <c:v>Sales</c:v>
                </c:pt>
                <c:pt idx="5">
                  <c:v>Production</c:v>
                </c:pt>
              </c:strCache>
            </c:strRef>
          </c:cat>
          <c:val>
            <c:numRef>
              <c:f>Salary_by_department!$C$4:$C$10</c:f>
              <c:numCache>
                <c:formatCode>General</c:formatCode>
                <c:ptCount val="6"/>
                <c:pt idx="0">
                  <c:v>1</c:v>
                </c:pt>
                <c:pt idx="1">
                  <c:v>50</c:v>
                </c:pt>
                <c:pt idx="2">
                  <c:v>11</c:v>
                </c:pt>
                <c:pt idx="3">
                  <c:v>9</c:v>
                </c:pt>
                <c:pt idx="4">
                  <c:v>31</c:v>
                </c:pt>
                <c:pt idx="5">
                  <c:v>209</c:v>
                </c:pt>
              </c:numCache>
            </c:numRef>
          </c:val>
          <c:extLst>
            <c:ext xmlns:c16="http://schemas.microsoft.com/office/drawing/2014/chart" uri="{C3380CC4-5D6E-409C-BE32-E72D297353CC}">
              <c16:uniqueId val="{00000001-072A-4E17-A90B-684B271A0D8D}"/>
            </c:ext>
          </c:extLst>
        </c:ser>
        <c:dLbls>
          <c:dLblPos val="outEnd"/>
          <c:showLegendKey val="0"/>
          <c:showVal val="1"/>
          <c:showCatName val="0"/>
          <c:showSerName val="0"/>
          <c:showPercent val="0"/>
          <c:showBubbleSize val="0"/>
        </c:dLbls>
        <c:gapWidth val="100"/>
        <c:overlap val="-24"/>
        <c:axId val="791425119"/>
        <c:axId val="791419839"/>
      </c:barChart>
      <c:catAx>
        <c:axId val="7914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uk-UA"/>
          </a:p>
        </c:txPr>
        <c:crossAx val="791419839"/>
        <c:crosses val="autoZero"/>
        <c:auto val="1"/>
        <c:lblAlgn val="ctr"/>
        <c:lblOffset val="100"/>
        <c:noMultiLvlLbl val="0"/>
      </c:catAx>
      <c:valAx>
        <c:axId val="791419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uk-UA"/>
          </a:p>
        </c:txPr>
        <c:crossAx val="79142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[HRDataset_analysis.xlsx]Salary_by_age!Зведена таблиця1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by age</a:t>
            </a:r>
            <a:endParaRPr lang="uk-U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Salary_by_age!$B$3</c:f>
              <c:strCache>
                <c:ptCount val="1"/>
                <c:pt idx="0">
                  <c:v>Підсумок</c:v>
                </c:pt>
              </c:strCache>
            </c:strRef>
          </c:tx>
          <c:spPr>
            <a:ln w="28575" cap="rnd">
              <a:solidFill>
                <a:schemeClr val="accent1"/>
              </a:solidFill>
              <a:round/>
            </a:ln>
            <a:effectLst/>
          </c:spPr>
          <c:marker>
            <c:symbol val="none"/>
          </c:marker>
          <c:cat>
            <c:strRef>
              <c:f>Salary_by_age!$A$4:$A$42</c:f>
              <c:strCache>
                <c:ptCount val="38"/>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49</c:v>
                </c:pt>
                <c:pt idx="17">
                  <c:v>50</c:v>
                </c:pt>
                <c:pt idx="18">
                  <c:v>51</c:v>
                </c:pt>
                <c:pt idx="19">
                  <c:v>52</c:v>
                </c:pt>
                <c:pt idx="20">
                  <c:v>53</c:v>
                </c:pt>
                <c:pt idx="21">
                  <c:v>54</c:v>
                </c:pt>
                <c:pt idx="22">
                  <c:v>55</c:v>
                </c:pt>
                <c:pt idx="23">
                  <c:v>56</c:v>
                </c:pt>
                <c:pt idx="24">
                  <c:v>57</c:v>
                </c:pt>
                <c:pt idx="25">
                  <c:v>58</c:v>
                </c:pt>
                <c:pt idx="26">
                  <c:v>59</c:v>
                </c:pt>
                <c:pt idx="27">
                  <c:v>60</c:v>
                </c:pt>
                <c:pt idx="28">
                  <c:v>61</c:v>
                </c:pt>
                <c:pt idx="29">
                  <c:v>62</c:v>
                </c:pt>
                <c:pt idx="30">
                  <c:v>64</c:v>
                </c:pt>
                <c:pt idx="31">
                  <c:v>66</c:v>
                </c:pt>
                <c:pt idx="32">
                  <c:v>67</c:v>
                </c:pt>
                <c:pt idx="33">
                  <c:v>70</c:v>
                </c:pt>
                <c:pt idx="34">
                  <c:v>71</c:v>
                </c:pt>
                <c:pt idx="35">
                  <c:v>72</c:v>
                </c:pt>
                <c:pt idx="36">
                  <c:v>73</c:v>
                </c:pt>
                <c:pt idx="37">
                  <c:v>74</c:v>
                </c:pt>
              </c:strCache>
            </c:strRef>
          </c:cat>
          <c:val>
            <c:numRef>
              <c:f>Salary_by_age!$B$4:$B$42</c:f>
              <c:numCache>
                <c:formatCode>0</c:formatCode>
                <c:ptCount val="38"/>
                <c:pt idx="0">
                  <c:v>58740</c:v>
                </c:pt>
                <c:pt idx="1">
                  <c:v>56612.333333333336</c:v>
                </c:pt>
                <c:pt idx="2">
                  <c:v>60010</c:v>
                </c:pt>
                <c:pt idx="3">
                  <c:v>63927.6</c:v>
                </c:pt>
                <c:pt idx="4">
                  <c:v>65427.555555555555</c:v>
                </c:pt>
                <c:pt idx="5">
                  <c:v>71174.444444444438</c:v>
                </c:pt>
                <c:pt idx="6">
                  <c:v>74990</c:v>
                </c:pt>
                <c:pt idx="7">
                  <c:v>61182.214285714283</c:v>
                </c:pt>
                <c:pt idx="8">
                  <c:v>71728.399999999994</c:v>
                </c:pt>
                <c:pt idx="9">
                  <c:v>71999.952380952382</c:v>
                </c:pt>
                <c:pt idx="10">
                  <c:v>57846.25</c:v>
                </c:pt>
                <c:pt idx="11">
                  <c:v>66353.71428571429</c:v>
                </c:pt>
                <c:pt idx="12">
                  <c:v>74485.222222222219</c:v>
                </c:pt>
                <c:pt idx="13">
                  <c:v>78318.894736842107</c:v>
                </c:pt>
                <c:pt idx="14">
                  <c:v>65068.875</c:v>
                </c:pt>
                <c:pt idx="15">
                  <c:v>58371.75</c:v>
                </c:pt>
                <c:pt idx="16">
                  <c:v>63770.111111111109</c:v>
                </c:pt>
                <c:pt idx="17">
                  <c:v>64360.444444444445</c:v>
                </c:pt>
                <c:pt idx="18">
                  <c:v>56556.090909090912</c:v>
                </c:pt>
                <c:pt idx="19">
                  <c:v>75090.777777777781</c:v>
                </c:pt>
                <c:pt idx="20">
                  <c:v>83097.71428571429</c:v>
                </c:pt>
                <c:pt idx="21">
                  <c:v>75071.333333333328</c:v>
                </c:pt>
                <c:pt idx="22">
                  <c:v>70767.818181818177</c:v>
                </c:pt>
                <c:pt idx="23">
                  <c:v>66627.428571428565</c:v>
                </c:pt>
                <c:pt idx="24">
                  <c:v>64678.285714285717</c:v>
                </c:pt>
                <c:pt idx="25">
                  <c:v>55081.75</c:v>
                </c:pt>
                <c:pt idx="26">
                  <c:v>93223</c:v>
                </c:pt>
                <c:pt idx="27">
                  <c:v>62638.2</c:v>
                </c:pt>
                <c:pt idx="28">
                  <c:v>91254.399999999994</c:v>
                </c:pt>
                <c:pt idx="29">
                  <c:v>66589</c:v>
                </c:pt>
                <c:pt idx="30">
                  <c:v>59472</c:v>
                </c:pt>
                <c:pt idx="31">
                  <c:v>55878</c:v>
                </c:pt>
                <c:pt idx="32">
                  <c:v>70507</c:v>
                </c:pt>
                <c:pt idx="33">
                  <c:v>69130</c:v>
                </c:pt>
                <c:pt idx="34">
                  <c:v>155904.5</c:v>
                </c:pt>
                <c:pt idx="35">
                  <c:v>72202</c:v>
                </c:pt>
                <c:pt idx="36">
                  <c:v>69723.666666666672</c:v>
                </c:pt>
                <c:pt idx="37">
                  <c:v>59965.5</c:v>
                </c:pt>
              </c:numCache>
            </c:numRef>
          </c:val>
          <c:smooth val="0"/>
          <c:extLst>
            <c:ext xmlns:c16="http://schemas.microsoft.com/office/drawing/2014/chart" uri="{C3380CC4-5D6E-409C-BE32-E72D297353CC}">
              <c16:uniqueId val="{00000000-198E-40A1-BCCF-89FDD2FC7D79}"/>
            </c:ext>
          </c:extLst>
        </c:ser>
        <c:dLbls>
          <c:showLegendKey val="0"/>
          <c:showVal val="0"/>
          <c:showCatName val="0"/>
          <c:showSerName val="0"/>
          <c:showPercent val="0"/>
          <c:showBubbleSize val="0"/>
        </c:dLbls>
        <c:smooth val="0"/>
        <c:axId val="270980160"/>
        <c:axId val="270978240"/>
      </c:lineChart>
      <c:catAx>
        <c:axId val="27098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70978240"/>
        <c:crosses val="autoZero"/>
        <c:auto val="1"/>
        <c:lblAlgn val="ctr"/>
        <c:lblOffset val="100"/>
        <c:noMultiLvlLbl val="0"/>
      </c:catAx>
      <c:valAx>
        <c:axId val="270978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7098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[HRDataset_analysis.xlsx]Salary_by_experience!Зведена таблиця2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by experience</a:t>
            </a:r>
            <a:endParaRPr lang="uk-U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Salary_by_experience!$B$3</c:f>
              <c:strCache>
                <c:ptCount val="1"/>
                <c:pt idx="0">
                  <c:v>Підсумок</c:v>
                </c:pt>
              </c:strCache>
            </c:strRef>
          </c:tx>
          <c:spPr>
            <a:ln w="28575" cap="rnd">
              <a:solidFill>
                <a:schemeClr val="accent1"/>
              </a:solidFill>
              <a:round/>
            </a:ln>
            <a:effectLst/>
          </c:spPr>
          <c:marker>
            <c:symbol val="none"/>
          </c:marker>
          <c:cat>
            <c:strRef>
              <c:f>Salary_by_experience!$A$4:$A$24</c:f>
              <c:strCach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strCache>
            </c:strRef>
          </c:cat>
          <c:val>
            <c:numRef>
              <c:f>Salary_by_experience!$B$4:$B$24</c:f>
              <c:numCache>
                <c:formatCode>0</c:formatCode>
                <c:ptCount val="20"/>
                <c:pt idx="0">
                  <c:v>70947.555555555562</c:v>
                </c:pt>
                <c:pt idx="1">
                  <c:v>69807.850000000006</c:v>
                </c:pt>
                <c:pt idx="2">
                  <c:v>73319.28571428571</c:v>
                </c:pt>
                <c:pt idx="3">
                  <c:v>70365.789473684214</c:v>
                </c:pt>
                <c:pt idx="4">
                  <c:v>57802.0625</c:v>
                </c:pt>
                <c:pt idx="5">
                  <c:v>60863.666666666664</c:v>
                </c:pt>
                <c:pt idx="6">
                  <c:v>58991.333333333336</c:v>
                </c:pt>
                <c:pt idx="7">
                  <c:v>51621.4</c:v>
                </c:pt>
                <c:pt idx="8">
                  <c:v>101509</c:v>
                </c:pt>
                <c:pt idx="9">
                  <c:v>73837.46666666666</c:v>
                </c:pt>
                <c:pt idx="10">
                  <c:v>70206.620689655174</c:v>
                </c:pt>
                <c:pt idx="11">
                  <c:v>68069.528301886792</c:v>
                </c:pt>
                <c:pt idx="12">
                  <c:v>64594.729729729726</c:v>
                </c:pt>
                <c:pt idx="13">
                  <c:v>72849.275862068971</c:v>
                </c:pt>
                <c:pt idx="14">
                  <c:v>66858.291666666672</c:v>
                </c:pt>
                <c:pt idx="15">
                  <c:v>89136.166666666672</c:v>
                </c:pt>
                <c:pt idx="16">
                  <c:v>95342.5</c:v>
                </c:pt>
                <c:pt idx="17">
                  <c:v>63995.5</c:v>
                </c:pt>
                <c:pt idx="18">
                  <c:v>47001</c:v>
                </c:pt>
                <c:pt idx="19">
                  <c:v>64397</c:v>
                </c:pt>
              </c:numCache>
            </c:numRef>
          </c:val>
          <c:smooth val="0"/>
          <c:extLst>
            <c:ext xmlns:c16="http://schemas.microsoft.com/office/drawing/2014/chart" uri="{C3380CC4-5D6E-409C-BE32-E72D297353CC}">
              <c16:uniqueId val="{00000000-E9D1-4BF3-92DC-2DB91CD373A6}"/>
            </c:ext>
          </c:extLst>
        </c:ser>
        <c:dLbls>
          <c:showLegendKey val="0"/>
          <c:showVal val="0"/>
          <c:showCatName val="0"/>
          <c:showSerName val="0"/>
          <c:showPercent val="0"/>
          <c:showBubbleSize val="0"/>
        </c:dLbls>
        <c:smooth val="0"/>
        <c:axId val="2053142096"/>
        <c:axId val="2053139216"/>
      </c:lineChart>
      <c:catAx>
        <c:axId val="20531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053139216"/>
        <c:crosses val="autoZero"/>
        <c:auto val="1"/>
        <c:lblAlgn val="ctr"/>
        <c:lblOffset val="100"/>
        <c:noMultiLvlLbl val="0"/>
      </c:catAx>
      <c:valAx>
        <c:axId val="205313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0531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[HRDataset_analysis.xlsx]Turnover_by_department!Зведена таблиця1</c:name>
    <c:fmtId val="1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1">
                <a:solidFill>
                  <a:sysClr val="windowText" lastClr="000000"/>
                </a:solidFill>
              </a:rPr>
              <a:t>Employee turnover by department</a:t>
            </a:r>
            <a:endParaRPr lang="uk-UA" sz="1400" b="1">
              <a:solidFill>
                <a:sysClr val="windowText" lastClr="000000"/>
              </a:solidFill>
            </a:endParaRPr>
          </a:p>
        </c:rich>
      </c:tx>
      <c:layout>
        <c:manualLayout>
          <c:xMode val="edge"/>
          <c:yMode val="edge"/>
          <c:x val="0.21669982157193932"/>
          <c:y val="3.579656475524829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uk-UA"/>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
        <c:idx val="5"/>
        <c:spPr>
          <a:solidFill>
            <a:schemeClr val="accent1">
              <a:alpha val="70000"/>
            </a:schemeClr>
          </a:solidFill>
          <a:ln>
            <a:noFill/>
          </a:ln>
          <a:effectLst/>
        </c:spPr>
      </c:pivotFmt>
      <c:pivotFmt>
        <c:idx val="6"/>
        <c:spPr>
          <a:solidFill>
            <a:schemeClr val="accent1">
              <a:alpha val="70000"/>
            </a:schemeClr>
          </a:solidFill>
          <a:ln>
            <a:noFill/>
          </a:ln>
          <a:effectLst/>
        </c:spPr>
      </c:pivotFmt>
      <c:pivotFmt>
        <c:idx val="7"/>
        <c:spPr>
          <a:solidFill>
            <a:schemeClr val="accent1">
              <a:alpha val="70000"/>
            </a:schemeClr>
          </a:solidFill>
          <a:ln>
            <a:noFill/>
          </a:ln>
          <a:effectLst/>
        </c:spPr>
      </c:pivotFmt>
      <c:pivotFmt>
        <c:idx val="8"/>
        <c:spPr>
          <a:solidFill>
            <a:schemeClr val="accent1">
              <a:alpha val="70000"/>
            </a:schemeClr>
          </a:solidFill>
          <a:ln>
            <a:noFill/>
          </a:ln>
          <a:effectLst/>
        </c:spPr>
      </c:pivotFmt>
      <c:pivotFmt>
        <c:idx val="9"/>
        <c:spPr>
          <a:solidFill>
            <a:schemeClr val="accent1">
              <a:alpha val="70000"/>
            </a:schemeClr>
          </a:solidFill>
          <a:ln>
            <a:noFill/>
          </a:ln>
          <a:effectLst/>
        </c:spPr>
      </c:pivotFmt>
      <c:pivotFmt>
        <c:idx val="10"/>
        <c:spPr>
          <a:solidFill>
            <a:schemeClr val="accent1">
              <a:alpha val="70000"/>
            </a:schemeClr>
          </a:solidFill>
          <a:ln>
            <a:noFill/>
          </a:ln>
          <a:effectLst/>
        </c:spPr>
      </c:pivotFmt>
      <c:pivotFmt>
        <c:idx val="11"/>
        <c:spPr>
          <a:solidFill>
            <a:schemeClr val="tx2">
              <a:lumMod val="50000"/>
              <a:lumOff val="50000"/>
            </a:schemeClr>
          </a:solidFill>
          <a:ln>
            <a:noFill/>
          </a:ln>
          <a:effectLst/>
        </c:spPr>
      </c:pivotFmt>
      <c:pivotFmt>
        <c:idx val="12"/>
        <c:spPr>
          <a:solidFill>
            <a:schemeClr val="tx2">
              <a:lumMod val="50000"/>
              <a:lumOff val="50000"/>
            </a:schemeClr>
          </a:solidFill>
          <a:ln>
            <a:noFill/>
          </a:ln>
          <a:effectLst/>
        </c:spPr>
      </c:pivotFmt>
      <c:pivotFmt>
        <c:idx val="13"/>
        <c:spPr>
          <a:solidFill>
            <a:schemeClr val="tx2">
              <a:lumMod val="50000"/>
              <a:lumOff val="50000"/>
            </a:schemeClr>
          </a:solidFill>
          <a:ln>
            <a:noFill/>
          </a:ln>
          <a:effectLst/>
        </c:spPr>
      </c:pivotFmt>
      <c:pivotFmt>
        <c:idx val="14"/>
        <c:spPr>
          <a:solidFill>
            <a:schemeClr val="tx2">
              <a:lumMod val="50000"/>
              <a:lumOff val="50000"/>
            </a:schemeClr>
          </a:solidFill>
          <a:ln>
            <a:noFill/>
          </a:ln>
          <a:effectLst/>
        </c:spPr>
      </c:pivotFmt>
      <c:pivotFmt>
        <c:idx val="15"/>
        <c:spPr>
          <a:solidFill>
            <a:schemeClr val="tx2">
              <a:lumMod val="50000"/>
              <a:lumOff val="50000"/>
            </a:schemeClr>
          </a:solidFill>
          <a:ln>
            <a:noFill/>
          </a:ln>
          <a:effectLst/>
        </c:spPr>
      </c:pivotFmt>
      <c:pivotFmt>
        <c:idx val="16"/>
        <c:spPr>
          <a:solidFill>
            <a:schemeClr val="tx2">
              <a:lumMod val="50000"/>
              <a:lumOff val="50000"/>
            </a:schemeClr>
          </a:solidFill>
          <a:ln>
            <a:noFill/>
          </a:ln>
          <a:effectLst/>
        </c:spPr>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50000"/>
              <a:lumOff val="50000"/>
            </a:schemeClr>
          </a:solidFill>
          <a:ln>
            <a:noFill/>
          </a:ln>
          <a:effectLst/>
        </c:spPr>
      </c:pivotFmt>
      <c:pivotFmt>
        <c:idx val="19"/>
        <c:spPr>
          <a:solidFill>
            <a:schemeClr val="tx2">
              <a:lumMod val="50000"/>
              <a:lumOff val="50000"/>
            </a:schemeClr>
          </a:solidFill>
          <a:ln>
            <a:noFill/>
          </a:ln>
          <a:effectLst/>
        </c:spPr>
      </c:pivotFmt>
      <c:pivotFmt>
        <c:idx val="20"/>
        <c:spPr>
          <a:solidFill>
            <a:schemeClr val="tx2">
              <a:lumMod val="50000"/>
              <a:lumOff val="50000"/>
            </a:schemeClr>
          </a:solidFill>
          <a:ln>
            <a:noFill/>
          </a:ln>
          <a:effectLst/>
        </c:spPr>
      </c:pivotFmt>
      <c:pivotFmt>
        <c:idx val="21"/>
        <c:spPr>
          <a:solidFill>
            <a:schemeClr val="tx2">
              <a:lumMod val="50000"/>
              <a:lumOff val="50000"/>
            </a:schemeClr>
          </a:solidFill>
          <a:ln>
            <a:noFill/>
          </a:ln>
          <a:effectLst/>
        </c:spPr>
      </c:pivotFmt>
      <c:pivotFmt>
        <c:idx val="22"/>
        <c:spPr>
          <a:solidFill>
            <a:schemeClr val="tx2">
              <a:lumMod val="50000"/>
              <a:lumOff val="50000"/>
            </a:schemeClr>
          </a:solidFill>
          <a:ln>
            <a:noFill/>
          </a:ln>
          <a:effectLst/>
        </c:spPr>
      </c:pivotFmt>
      <c:pivotFmt>
        <c:idx val="23"/>
        <c:spPr>
          <a:solidFill>
            <a:schemeClr val="tx2">
              <a:lumMod val="50000"/>
              <a:lumOff val="50000"/>
            </a:schemeClr>
          </a:solidFill>
          <a:ln>
            <a:noFill/>
          </a:ln>
          <a:effectLst/>
        </c:spPr>
      </c:pivotFmt>
      <c:pivotFmt>
        <c:idx val="24"/>
        <c:spPr>
          <a:solidFill>
            <a:schemeClr val="accent1">
              <a:alpha val="70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50000"/>
              <a:lumOff val="50000"/>
            </a:schemeClr>
          </a:solidFill>
          <a:ln>
            <a:solidFill>
              <a:schemeClr val="tx2">
                <a:lumMod val="75000"/>
                <a:lumOff val="25000"/>
              </a:schemeClr>
            </a:solidFill>
          </a:ln>
          <a:effectLst/>
        </c:spPr>
      </c:pivotFmt>
      <c:pivotFmt>
        <c:idx val="26"/>
        <c:spPr>
          <a:solidFill>
            <a:schemeClr val="tx2">
              <a:lumMod val="50000"/>
              <a:lumOff val="50000"/>
            </a:schemeClr>
          </a:solidFill>
          <a:ln>
            <a:solidFill>
              <a:schemeClr val="tx2">
                <a:lumMod val="75000"/>
                <a:lumOff val="25000"/>
              </a:schemeClr>
            </a:solidFill>
          </a:ln>
          <a:effectLst/>
        </c:spPr>
      </c:pivotFmt>
      <c:pivotFmt>
        <c:idx val="27"/>
        <c:spPr>
          <a:solidFill>
            <a:schemeClr val="tx2">
              <a:lumMod val="50000"/>
              <a:lumOff val="50000"/>
            </a:schemeClr>
          </a:solidFill>
          <a:ln>
            <a:solidFill>
              <a:schemeClr val="tx2">
                <a:lumMod val="75000"/>
                <a:lumOff val="25000"/>
              </a:schemeClr>
            </a:solidFill>
          </a:ln>
          <a:effectLst/>
        </c:spPr>
      </c:pivotFmt>
      <c:pivotFmt>
        <c:idx val="28"/>
        <c:spPr>
          <a:solidFill>
            <a:schemeClr val="tx2">
              <a:lumMod val="50000"/>
              <a:lumOff val="50000"/>
            </a:schemeClr>
          </a:solidFill>
          <a:ln>
            <a:solidFill>
              <a:schemeClr val="tx2">
                <a:lumMod val="75000"/>
                <a:lumOff val="25000"/>
              </a:schemeClr>
            </a:solidFill>
          </a:ln>
          <a:effectLst/>
        </c:spPr>
      </c:pivotFmt>
      <c:pivotFmt>
        <c:idx val="29"/>
        <c:spPr>
          <a:solidFill>
            <a:schemeClr val="tx2">
              <a:lumMod val="50000"/>
              <a:lumOff val="50000"/>
            </a:schemeClr>
          </a:solidFill>
          <a:ln>
            <a:solidFill>
              <a:schemeClr val="tx2">
                <a:lumMod val="75000"/>
                <a:lumOff val="25000"/>
              </a:schemeClr>
            </a:solidFill>
          </a:ln>
          <a:effectLst/>
        </c:spPr>
      </c:pivotFmt>
      <c:pivotFmt>
        <c:idx val="30"/>
        <c:spPr>
          <a:solidFill>
            <a:schemeClr val="tx2">
              <a:lumMod val="50000"/>
              <a:lumOff val="50000"/>
            </a:schemeClr>
          </a:solidFill>
          <a:ln>
            <a:solidFill>
              <a:schemeClr val="tx2">
                <a:lumMod val="75000"/>
                <a:lumOff val="25000"/>
              </a:schemeClr>
            </a:solidFill>
          </a:ln>
          <a:effectLst/>
        </c:spPr>
      </c:pivotFmt>
    </c:pivotFmts>
    <c:plotArea>
      <c:layout/>
      <c:barChart>
        <c:barDir val="col"/>
        <c:grouping val="clustered"/>
        <c:varyColors val="0"/>
        <c:ser>
          <c:idx val="0"/>
          <c:order val="0"/>
          <c:tx>
            <c:strRef>
              <c:f>Turnover_by_department!$B$3</c:f>
              <c:strCache>
                <c:ptCount val="1"/>
                <c:pt idx="0">
                  <c:v>Підсумок</c:v>
                </c:pt>
              </c:strCache>
            </c:strRef>
          </c:tx>
          <c:spPr>
            <a:solidFill>
              <a:schemeClr val="accent1">
                <a:alpha val="70000"/>
              </a:schemeClr>
            </a:solidFill>
            <a:ln>
              <a:solidFill>
                <a:schemeClr val="tx2">
                  <a:lumMod val="75000"/>
                  <a:lumOff val="25000"/>
                </a:schemeClr>
              </a:solidFill>
            </a:ln>
            <a:effectLst/>
          </c:spPr>
          <c:invertIfNegative val="0"/>
          <c:dPt>
            <c:idx val="0"/>
            <c:invertIfNegative val="0"/>
            <c:bubble3D val="0"/>
            <c:spPr>
              <a:solidFill>
                <a:schemeClr val="tx2">
                  <a:lumMod val="50000"/>
                  <a:lumOff val="50000"/>
                </a:schemeClr>
              </a:solidFill>
              <a:ln>
                <a:solidFill>
                  <a:schemeClr val="tx2">
                    <a:lumMod val="75000"/>
                    <a:lumOff val="25000"/>
                  </a:schemeClr>
                </a:solidFill>
              </a:ln>
              <a:effectLst/>
            </c:spPr>
            <c:extLst>
              <c:ext xmlns:c16="http://schemas.microsoft.com/office/drawing/2014/chart" uri="{C3380CC4-5D6E-409C-BE32-E72D297353CC}">
                <c16:uniqueId val="{00000001-2B88-46C6-9FE2-9822489DC9F4}"/>
              </c:ext>
            </c:extLst>
          </c:dPt>
          <c:dPt>
            <c:idx val="3"/>
            <c:invertIfNegative val="0"/>
            <c:bubble3D val="0"/>
            <c:spPr>
              <a:solidFill>
                <a:schemeClr val="tx2">
                  <a:lumMod val="50000"/>
                  <a:lumOff val="50000"/>
                </a:schemeClr>
              </a:solidFill>
              <a:ln>
                <a:solidFill>
                  <a:schemeClr val="tx2">
                    <a:lumMod val="75000"/>
                    <a:lumOff val="25000"/>
                  </a:schemeClr>
                </a:solidFill>
              </a:ln>
              <a:effectLst/>
            </c:spPr>
            <c:extLst>
              <c:ext xmlns:c16="http://schemas.microsoft.com/office/drawing/2014/chart" uri="{C3380CC4-5D6E-409C-BE32-E72D297353CC}">
                <c16:uniqueId val="{00000003-2B88-46C6-9FE2-9822489DC9F4}"/>
              </c:ext>
            </c:extLst>
          </c:dPt>
          <c:dPt>
            <c:idx val="6"/>
            <c:invertIfNegative val="0"/>
            <c:bubble3D val="0"/>
            <c:spPr>
              <a:solidFill>
                <a:schemeClr val="tx2">
                  <a:lumMod val="50000"/>
                  <a:lumOff val="50000"/>
                </a:schemeClr>
              </a:solidFill>
              <a:ln>
                <a:solidFill>
                  <a:schemeClr val="tx2">
                    <a:lumMod val="75000"/>
                    <a:lumOff val="25000"/>
                  </a:schemeClr>
                </a:solidFill>
              </a:ln>
              <a:effectLst/>
            </c:spPr>
            <c:extLst>
              <c:ext xmlns:c16="http://schemas.microsoft.com/office/drawing/2014/chart" uri="{C3380CC4-5D6E-409C-BE32-E72D297353CC}">
                <c16:uniqueId val="{00000005-2B88-46C6-9FE2-9822489DC9F4}"/>
              </c:ext>
            </c:extLst>
          </c:dPt>
          <c:dPt>
            <c:idx val="9"/>
            <c:invertIfNegative val="0"/>
            <c:bubble3D val="0"/>
            <c:spPr>
              <a:solidFill>
                <a:schemeClr val="tx2">
                  <a:lumMod val="50000"/>
                  <a:lumOff val="50000"/>
                </a:schemeClr>
              </a:solidFill>
              <a:ln>
                <a:solidFill>
                  <a:schemeClr val="tx2">
                    <a:lumMod val="75000"/>
                    <a:lumOff val="25000"/>
                  </a:schemeClr>
                </a:solidFill>
              </a:ln>
              <a:effectLst/>
            </c:spPr>
            <c:extLst>
              <c:ext xmlns:c16="http://schemas.microsoft.com/office/drawing/2014/chart" uri="{C3380CC4-5D6E-409C-BE32-E72D297353CC}">
                <c16:uniqueId val="{00000007-2B88-46C6-9FE2-9822489DC9F4}"/>
              </c:ext>
            </c:extLst>
          </c:dPt>
          <c:dPt>
            <c:idx val="12"/>
            <c:invertIfNegative val="0"/>
            <c:bubble3D val="0"/>
            <c:spPr>
              <a:solidFill>
                <a:schemeClr val="tx2">
                  <a:lumMod val="50000"/>
                  <a:lumOff val="50000"/>
                </a:schemeClr>
              </a:solidFill>
              <a:ln>
                <a:solidFill>
                  <a:schemeClr val="tx2">
                    <a:lumMod val="75000"/>
                    <a:lumOff val="25000"/>
                  </a:schemeClr>
                </a:solidFill>
              </a:ln>
              <a:effectLst/>
            </c:spPr>
            <c:extLst>
              <c:ext xmlns:c16="http://schemas.microsoft.com/office/drawing/2014/chart" uri="{C3380CC4-5D6E-409C-BE32-E72D297353CC}">
                <c16:uniqueId val="{00000009-2B88-46C6-9FE2-9822489DC9F4}"/>
              </c:ext>
            </c:extLst>
          </c:dPt>
          <c:dPt>
            <c:idx val="15"/>
            <c:invertIfNegative val="0"/>
            <c:bubble3D val="0"/>
            <c:spPr>
              <a:solidFill>
                <a:schemeClr val="tx2">
                  <a:lumMod val="50000"/>
                  <a:lumOff val="50000"/>
                </a:schemeClr>
              </a:solidFill>
              <a:ln>
                <a:solidFill>
                  <a:schemeClr val="tx2">
                    <a:lumMod val="75000"/>
                    <a:lumOff val="25000"/>
                  </a:schemeClr>
                </a:solidFill>
              </a:ln>
              <a:effectLst/>
            </c:spPr>
            <c:extLst>
              <c:ext xmlns:c16="http://schemas.microsoft.com/office/drawing/2014/chart" uri="{C3380CC4-5D6E-409C-BE32-E72D297353CC}">
                <c16:uniqueId val="{0000000B-2B88-46C6-9FE2-9822489DC9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Turnover_by_department!$A$4:$A$26</c:f>
              <c:multiLvlStrCache>
                <c:ptCount val="16"/>
                <c:lvl>
                  <c:pt idx="0">
                    <c:v>Active</c:v>
                  </c:pt>
                  <c:pt idx="1">
                    <c:v>Terminated for Cause</c:v>
                  </c:pt>
                  <c:pt idx="2">
                    <c:v>Voluntarily Terminated</c:v>
                  </c:pt>
                  <c:pt idx="3">
                    <c:v>Active</c:v>
                  </c:pt>
                  <c:pt idx="4">
                    <c:v>Terminated for Cause</c:v>
                  </c:pt>
                  <c:pt idx="5">
                    <c:v>Voluntarily Terminated</c:v>
                  </c:pt>
                  <c:pt idx="6">
                    <c:v>Active</c:v>
                  </c:pt>
                  <c:pt idx="7">
                    <c:v>Terminated for Cause</c:v>
                  </c:pt>
                  <c:pt idx="8">
                    <c:v>Voluntarily Terminated</c:v>
                  </c:pt>
                  <c:pt idx="9">
                    <c:v>Active</c:v>
                  </c:pt>
                  <c:pt idx="10">
                    <c:v>Terminated for Cause</c:v>
                  </c:pt>
                  <c:pt idx="11">
                    <c:v>Voluntarily Terminated</c:v>
                  </c:pt>
                  <c:pt idx="12">
                    <c:v>Active</c:v>
                  </c:pt>
                  <c:pt idx="13">
                    <c:v>Terminated for Cause</c:v>
                  </c:pt>
                  <c:pt idx="14">
                    <c:v>Voluntarily Terminated</c:v>
                  </c:pt>
                  <c:pt idx="15">
                    <c:v>Active</c:v>
                  </c:pt>
                </c:lvl>
                <c:lvl>
                  <c:pt idx="0">
                    <c:v>Production</c:v>
                  </c:pt>
                  <c:pt idx="3">
                    <c:v>IT/IS</c:v>
                  </c:pt>
                  <c:pt idx="6">
                    <c:v>Sales</c:v>
                  </c:pt>
                  <c:pt idx="9">
                    <c:v>Software Engineering</c:v>
                  </c:pt>
                  <c:pt idx="12">
                    <c:v>Admin Offices</c:v>
                  </c:pt>
                  <c:pt idx="15">
                    <c:v>Executive Office</c:v>
                  </c:pt>
                </c:lvl>
              </c:multiLvlStrCache>
            </c:multiLvlStrRef>
          </c:cat>
          <c:val>
            <c:numRef>
              <c:f>Turnover_by_department!$B$4:$B$26</c:f>
              <c:numCache>
                <c:formatCode>General</c:formatCode>
                <c:ptCount val="16"/>
                <c:pt idx="0">
                  <c:v>126</c:v>
                </c:pt>
                <c:pt idx="1">
                  <c:v>8</c:v>
                </c:pt>
                <c:pt idx="2">
                  <c:v>75</c:v>
                </c:pt>
                <c:pt idx="3">
                  <c:v>40</c:v>
                </c:pt>
                <c:pt idx="4">
                  <c:v>4</c:v>
                </c:pt>
                <c:pt idx="5">
                  <c:v>6</c:v>
                </c:pt>
                <c:pt idx="6">
                  <c:v>26</c:v>
                </c:pt>
                <c:pt idx="7">
                  <c:v>2</c:v>
                </c:pt>
                <c:pt idx="8">
                  <c:v>3</c:v>
                </c:pt>
                <c:pt idx="9">
                  <c:v>7</c:v>
                </c:pt>
                <c:pt idx="10">
                  <c:v>1</c:v>
                </c:pt>
                <c:pt idx="11">
                  <c:v>3</c:v>
                </c:pt>
                <c:pt idx="12">
                  <c:v>7</c:v>
                </c:pt>
                <c:pt idx="13">
                  <c:v>1</c:v>
                </c:pt>
                <c:pt idx="14">
                  <c:v>1</c:v>
                </c:pt>
                <c:pt idx="15">
                  <c:v>1</c:v>
                </c:pt>
              </c:numCache>
            </c:numRef>
          </c:val>
          <c:extLst>
            <c:ext xmlns:c16="http://schemas.microsoft.com/office/drawing/2014/chart" uri="{C3380CC4-5D6E-409C-BE32-E72D297353CC}">
              <c16:uniqueId val="{0000000C-2B88-46C6-9FE2-9822489DC9F4}"/>
            </c:ext>
          </c:extLst>
        </c:ser>
        <c:dLbls>
          <c:dLblPos val="outEnd"/>
          <c:showLegendKey val="0"/>
          <c:showVal val="1"/>
          <c:showCatName val="0"/>
          <c:showSerName val="0"/>
          <c:showPercent val="0"/>
          <c:showBubbleSize val="0"/>
        </c:dLbls>
        <c:gapWidth val="80"/>
        <c:overlap val="25"/>
        <c:axId val="1003141152"/>
        <c:axId val="1003140672"/>
      </c:barChart>
      <c:catAx>
        <c:axId val="100314115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uk-UA"/>
          </a:p>
        </c:txPr>
        <c:crossAx val="1003140672"/>
        <c:crosses val="autoZero"/>
        <c:auto val="1"/>
        <c:lblAlgn val="ctr"/>
        <c:lblOffset val="100"/>
        <c:noMultiLvlLbl val="0"/>
      </c:catAx>
      <c:valAx>
        <c:axId val="100314067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uk-UA"/>
          </a:p>
        </c:txPr>
        <c:crossAx val="1003141152"/>
        <c:crosses val="autoZero"/>
        <c:crossBetween val="between"/>
      </c:valAx>
      <c:spPr>
        <a:solidFill>
          <a:schemeClr val="bg1">
            <a:lumMod val="95000"/>
            <a:alpha val="93000"/>
          </a:schemeClr>
        </a:solidFill>
        <a:ln>
          <a:solidFill>
            <a:schemeClr val="tx2">
              <a:lumMod val="25000"/>
              <a:lumOff val="75000"/>
              <a:alpha val="9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2">
          <a:lumMod val="25000"/>
          <a:lumOff val="7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[HRDataset_analysis.xlsx]Turnover_by_gender!Зведена таблиця1</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1">
                <a:solidFill>
                  <a:sysClr val="windowText" lastClr="000000"/>
                </a:solidFill>
              </a:rPr>
              <a:t>Employee turnover by gender</a:t>
            </a:r>
            <a:endParaRPr lang="uk-UA" sz="1400" b="1">
              <a:solidFill>
                <a:sysClr val="windowText" lastClr="000000"/>
              </a:solidFill>
            </a:endParaRPr>
          </a:p>
        </c:rich>
      </c:tx>
      <c:layout>
        <c:manualLayout>
          <c:xMode val="edge"/>
          <c:yMode val="edge"/>
          <c:x val="0.21410411198600174"/>
          <c:y val="3.2220943613348679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uk-UA"/>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pivotFmt>
      <c:pivotFmt>
        <c:idx val="2"/>
        <c:spPr>
          <a:solidFill>
            <a:schemeClr val="accent5">
              <a:lumMod val="40000"/>
              <a:lumOff val="60000"/>
            </a:schemeClr>
          </a:solidFill>
          <a:ln>
            <a:noFill/>
          </a:ln>
          <a:effectLst/>
        </c:spPr>
      </c:pivotFmt>
      <c:pivotFmt>
        <c:idx val="3"/>
        <c:spPr>
          <a:solidFill>
            <a:schemeClr val="accent5">
              <a:lumMod val="40000"/>
              <a:lumOff val="60000"/>
            </a:schemeClr>
          </a:solidFill>
          <a:ln>
            <a:noFill/>
          </a:ln>
          <a:effectLst/>
        </c:spPr>
      </c:pivotFmt>
      <c:pivotFmt>
        <c:idx val="4"/>
        <c:spPr>
          <a:solidFill>
            <a:schemeClr val="tx2">
              <a:lumMod val="25000"/>
              <a:lumOff val="75000"/>
            </a:schemeClr>
          </a:solidFill>
          <a:ln>
            <a:noFill/>
          </a:ln>
          <a:effectLst/>
        </c:spPr>
      </c:pivotFmt>
      <c:pivotFmt>
        <c:idx val="5"/>
        <c:spPr>
          <a:solidFill>
            <a:schemeClr val="tx2">
              <a:lumMod val="25000"/>
              <a:lumOff val="75000"/>
            </a:schemeClr>
          </a:solidFill>
          <a:ln>
            <a:noFill/>
          </a:ln>
          <a:effectLst/>
        </c:spPr>
      </c:pivotFmt>
      <c:pivotFmt>
        <c:idx val="6"/>
        <c:spPr>
          <a:solidFill>
            <a:schemeClr val="tx2">
              <a:lumMod val="25000"/>
              <a:lumOff val="75000"/>
            </a:schemeClr>
          </a:solidFill>
          <a:ln>
            <a:noFill/>
          </a:ln>
          <a:effectLst/>
        </c:spPr>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tx2">
              <a:lumMod val="25000"/>
              <a:lumOff val="75000"/>
            </a:schemeClr>
          </a:solidFill>
          <a:ln>
            <a:noFill/>
          </a:ln>
          <a:effectLst/>
        </c:spPr>
      </c:pivotFmt>
      <c:pivotFmt>
        <c:idx val="12"/>
        <c:spPr>
          <a:solidFill>
            <a:schemeClr val="tx2">
              <a:lumMod val="25000"/>
              <a:lumOff val="75000"/>
            </a:schemeClr>
          </a:solidFill>
          <a:ln>
            <a:noFill/>
          </a:ln>
          <a:effectLst/>
        </c:spPr>
      </c:pivotFmt>
      <c:pivotFmt>
        <c:idx val="13"/>
        <c:spPr>
          <a:solidFill>
            <a:schemeClr val="tx2">
              <a:lumMod val="25000"/>
              <a:lumOff val="75000"/>
            </a:schemeClr>
          </a:solidFill>
          <a:ln>
            <a:noFill/>
          </a:ln>
          <a:effectLst/>
        </c:spPr>
      </c:pivotFmt>
      <c:pivotFmt>
        <c:idx val="14"/>
        <c:spPr>
          <a:solidFill>
            <a:schemeClr val="accent1">
              <a:alpha val="70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a:solidFill>
              <a:schemeClr val="tx2">
                <a:lumMod val="75000"/>
                <a:lumOff val="25000"/>
              </a:schemeClr>
            </a:solidFill>
          </a:ln>
          <a:effectLst/>
        </c:spPr>
      </c:pivotFmt>
      <c:pivotFmt>
        <c:idx val="16"/>
        <c:spPr>
          <a:solidFill>
            <a:schemeClr val="accent5">
              <a:lumMod val="40000"/>
              <a:lumOff val="60000"/>
            </a:schemeClr>
          </a:solidFill>
          <a:ln>
            <a:solidFill>
              <a:schemeClr val="tx2">
                <a:lumMod val="75000"/>
                <a:lumOff val="25000"/>
              </a:schemeClr>
            </a:solidFill>
          </a:ln>
          <a:effectLst/>
        </c:spPr>
      </c:pivotFmt>
      <c:pivotFmt>
        <c:idx val="17"/>
        <c:spPr>
          <a:solidFill>
            <a:schemeClr val="accent5">
              <a:lumMod val="40000"/>
              <a:lumOff val="60000"/>
            </a:schemeClr>
          </a:solidFill>
          <a:ln>
            <a:solidFill>
              <a:schemeClr val="tx2">
                <a:lumMod val="75000"/>
                <a:lumOff val="25000"/>
              </a:schemeClr>
            </a:solidFill>
          </a:ln>
          <a:effectLst/>
        </c:spPr>
      </c:pivotFmt>
      <c:pivotFmt>
        <c:idx val="18"/>
        <c:spPr>
          <a:solidFill>
            <a:schemeClr val="tx2">
              <a:lumMod val="25000"/>
              <a:lumOff val="75000"/>
            </a:schemeClr>
          </a:solidFill>
          <a:ln>
            <a:solidFill>
              <a:schemeClr val="tx2">
                <a:lumMod val="75000"/>
                <a:lumOff val="25000"/>
              </a:schemeClr>
            </a:solidFill>
          </a:ln>
          <a:effectLst/>
        </c:spPr>
      </c:pivotFmt>
      <c:pivotFmt>
        <c:idx val="19"/>
        <c:spPr>
          <a:solidFill>
            <a:schemeClr val="tx2">
              <a:lumMod val="25000"/>
              <a:lumOff val="75000"/>
            </a:schemeClr>
          </a:solidFill>
          <a:ln>
            <a:solidFill>
              <a:schemeClr val="tx2">
                <a:lumMod val="75000"/>
                <a:lumOff val="25000"/>
              </a:schemeClr>
            </a:solidFill>
          </a:ln>
          <a:effectLst/>
        </c:spPr>
      </c:pivotFmt>
      <c:pivotFmt>
        <c:idx val="20"/>
        <c:spPr>
          <a:solidFill>
            <a:schemeClr val="tx2">
              <a:lumMod val="25000"/>
              <a:lumOff val="75000"/>
            </a:schemeClr>
          </a:solidFill>
          <a:ln>
            <a:solidFill>
              <a:schemeClr val="tx2">
                <a:lumMod val="75000"/>
                <a:lumOff val="25000"/>
              </a:schemeClr>
            </a:solidFill>
          </a:ln>
          <a:effectLst/>
        </c:spPr>
      </c:pivotFmt>
    </c:pivotFmts>
    <c:plotArea>
      <c:layout/>
      <c:barChart>
        <c:barDir val="col"/>
        <c:grouping val="clustered"/>
        <c:varyColors val="0"/>
        <c:ser>
          <c:idx val="0"/>
          <c:order val="0"/>
          <c:tx>
            <c:strRef>
              <c:f>Turnover_by_gender!$B$3</c:f>
              <c:strCache>
                <c:ptCount val="1"/>
                <c:pt idx="0">
                  <c:v>Підсумок</c:v>
                </c:pt>
              </c:strCache>
            </c:strRef>
          </c:tx>
          <c:spPr>
            <a:solidFill>
              <a:schemeClr val="accent1">
                <a:alpha val="70000"/>
              </a:schemeClr>
            </a:solidFill>
            <a:ln>
              <a:solidFill>
                <a:schemeClr val="tx2">
                  <a:lumMod val="75000"/>
                  <a:lumOff val="25000"/>
                </a:schemeClr>
              </a:solidFill>
            </a:ln>
            <a:effectLst/>
          </c:spPr>
          <c:invertIfNegative val="0"/>
          <c:dPt>
            <c:idx val="0"/>
            <c:invertIfNegative val="0"/>
            <c:bubble3D val="0"/>
            <c:spPr>
              <a:solidFill>
                <a:schemeClr val="accent5">
                  <a:lumMod val="40000"/>
                  <a:lumOff val="60000"/>
                </a:schemeClr>
              </a:solidFill>
              <a:ln>
                <a:solidFill>
                  <a:schemeClr val="tx2">
                    <a:lumMod val="75000"/>
                    <a:lumOff val="25000"/>
                  </a:schemeClr>
                </a:solidFill>
              </a:ln>
              <a:effectLst/>
            </c:spPr>
            <c:extLst>
              <c:ext xmlns:c16="http://schemas.microsoft.com/office/drawing/2014/chart" uri="{C3380CC4-5D6E-409C-BE32-E72D297353CC}">
                <c16:uniqueId val="{00000001-4466-4C0B-9CDE-8BB7BC249140}"/>
              </c:ext>
            </c:extLst>
          </c:dPt>
          <c:dPt>
            <c:idx val="1"/>
            <c:invertIfNegative val="0"/>
            <c:bubble3D val="0"/>
            <c:spPr>
              <a:solidFill>
                <a:schemeClr val="accent5">
                  <a:lumMod val="40000"/>
                  <a:lumOff val="60000"/>
                </a:schemeClr>
              </a:solidFill>
              <a:ln>
                <a:solidFill>
                  <a:schemeClr val="tx2">
                    <a:lumMod val="75000"/>
                    <a:lumOff val="25000"/>
                  </a:schemeClr>
                </a:solidFill>
              </a:ln>
              <a:effectLst/>
            </c:spPr>
            <c:extLst>
              <c:ext xmlns:c16="http://schemas.microsoft.com/office/drawing/2014/chart" uri="{C3380CC4-5D6E-409C-BE32-E72D297353CC}">
                <c16:uniqueId val="{00000003-4466-4C0B-9CDE-8BB7BC249140}"/>
              </c:ext>
            </c:extLst>
          </c:dPt>
          <c:dPt>
            <c:idx val="2"/>
            <c:invertIfNegative val="0"/>
            <c:bubble3D val="0"/>
            <c:spPr>
              <a:solidFill>
                <a:schemeClr val="accent5">
                  <a:lumMod val="40000"/>
                  <a:lumOff val="60000"/>
                </a:schemeClr>
              </a:solidFill>
              <a:ln>
                <a:solidFill>
                  <a:schemeClr val="tx2">
                    <a:lumMod val="75000"/>
                    <a:lumOff val="25000"/>
                  </a:schemeClr>
                </a:solidFill>
              </a:ln>
              <a:effectLst/>
            </c:spPr>
            <c:extLst>
              <c:ext xmlns:c16="http://schemas.microsoft.com/office/drawing/2014/chart" uri="{C3380CC4-5D6E-409C-BE32-E72D297353CC}">
                <c16:uniqueId val="{00000005-4466-4C0B-9CDE-8BB7BC249140}"/>
              </c:ext>
            </c:extLst>
          </c:dPt>
          <c:dPt>
            <c:idx val="3"/>
            <c:invertIfNegative val="0"/>
            <c:bubble3D val="0"/>
            <c:spPr>
              <a:solidFill>
                <a:schemeClr val="tx2">
                  <a:lumMod val="25000"/>
                  <a:lumOff val="75000"/>
                </a:schemeClr>
              </a:solidFill>
              <a:ln>
                <a:solidFill>
                  <a:schemeClr val="tx2">
                    <a:lumMod val="75000"/>
                    <a:lumOff val="25000"/>
                  </a:schemeClr>
                </a:solidFill>
              </a:ln>
              <a:effectLst/>
            </c:spPr>
            <c:extLst>
              <c:ext xmlns:c16="http://schemas.microsoft.com/office/drawing/2014/chart" uri="{C3380CC4-5D6E-409C-BE32-E72D297353CC}">
                <c16:uniqueId val="{00000007-4466-4C0B-9CDE-8BB7BC249140}"/>
              </c:ext>
            </c:extLst>
          </c:dPt>
          <c:dPt>
            <c:idx val="4"/>
            <c:invertIfNegative val="0"/>
            <c:bubble3D val="0"/>
            <c:spPr>
              <a:solidFill>
                <a:schemeClr val="tx2">
                  <a:lumMod val="25000"/>
                  <a:lumOff val="75000"/>
                </a:schemeClr>
              </a:solidFill>
              <a:ln>
                <a:solidFill>
                  <a:schemeClr val="tx2">
                    <a:lumMod val="75000"/>
                    <a:lumOff val="25000"/>
                  </a:schemeClr>
                </a:solidFill>
              </a:ln>
              <a:effectLst/>
            </c:spPr>
            <c:extLst>
              <c:ext xmlns:c16="http://schemas.microsoft.com/office/drawing/2014/chart" uri="{C3380CC4-5D6E-409C-BE32-E72D297353CC}">
                <c16:uniqueId val="{00000009-4466-4C0B-9CDE-8BB7BC249140}"/>
              </c:ext>
            </c:extLst>
          </c:dPt>
          <c:dPt>
            <c:idx val="5"/>
            <c:invertIfNegative val="0"/>
            <c:bubble3D val="0"/>
            <c:spPr>
              <a:solidFill>
                <a:schemeClr val="tx2">
                  <a:lumMod val="25000"/>
                  <a:lumOff val="75000"/>
                </a:schemeClr>
              </a:solidFill>
              <a:ln>
                <a:solidFill>
                  <a:schemeClr val="tx2">
                    <a:lumMod val="75000"/>
                    <a:lumOff val="25000"/>
                  </a:schemeClr>
                </a:solidFill>
              </a:ln>
              <a:effectLst/>
            </c:spPr>
            <c:extLst>
              <c:ext xmlns:c16="http://schemas.microsoft.com/office/drawing/2014/chart" uri="{C3380CC4-5D6E-409C-BE32-E72D297353CC}">
                <c16:uniqueId val="{0000000B-4466-4C0B-9CDE-8BB7BC2491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Turnover_by_gender!$A$4:$A$12</c:f>
              <c:multiLvlStrCache>
                <c:ptCount val="6"/>
                <c:lvl>
                  <c:pt idx="0">
                    <c:v>Active</c:v>
                  </c:pt>
                  <c:pt idx="1">
                    <c:v>Terminated for Cause</c:v>
                  </c:pt>
                  <c:pt idx="2">
                    <c:v>Voluntarily Terminated</c:v>
                  </c:pt>
                  <c:pt idx="3">
                    <c:v>Active</c:v>
                  </c:pt>
                  <c:pt idx="4">
                    <c:v>Terminated for Cause</c:v>
                  </c:pt>
                  <c:pt idx="5">
                    <c:v>Voluntarily Terminated</c:v>
                  </c:pt>
                </c:lvl>
                <c:lvl>
                  <c:pt idx="0">
                    <c:v>F</c:v>
                  </c:pt>
                  <c:pt idx="3">
                    <c:v>M </c:v>
                  </c:pt>
                </c:lvl>
              </c:multiLvlStrCache>
            </c:multiLvlStrRef>
          </c:cat>
          <c:val>
            <c:numRef>
              <c:f>Turnover_by_gender!$B$4:$B$12</c:f>
              <c:numCache>
                <c:formatCode>General</c:formatCode>
                <c:ptCount val="6"/>
                <c:pt idx="0">
                  <c:v>116</c:v>
                </c:pt>
                <c:pt idx="1">
                  <c:v>9</c:v>
                </c:pt>
                <c:pt idx="2">
                  <c:v>51</c:v>
                </c:pt>
                <c:pt idx="3">
                  <c:v>91</c:v>
                </c:pt>
                <c:pt idx="4">
                  <c:v>7</c:v>
                </c:pt>
                <c:pt idx="5">
                  <c:v>37</c:v>
                </c:pt>
              </c:numCache>
            </c:numRef>
          </c:val>
          <c:extLst>
            <c:ext xmlns:c16="http://schemas.microsoft.com/office/drawing/2014/chart" uri="{C3380CC4-5D6E-409C-BE32-E72D297353CC}">
              <c16:uniqueId val="{0000000C-4466-4C0B-9CDE-8BB7BC249140}"/>
            </c:ext>
          </c:extLst>
        </c:ser>
        <c:dLbls>
          <c:showLegendKey val="0"/>
          <c:showVal val="0"/>
          <c:showCatName val="0"/>
          <c:showSerName val="0"/>
          <c:showPercent val="0"/>
          <c:showBubbleSize val="0"/>
        </c:dLbls>
        <c:gapWidth val="80"/>
        <c:overlap val="25"/>
        <c:axId val="760905679"/>
        <c:axId val="760891279"/>
      </c:barChart>
      <c:catAx>
        <c:axId val="76090567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uk-UA"/>
          </a:p>
        </c:txPr>
        <c:crossAx val="760891279"/>
        <c:crosses val="autoZero"/>
        <c:auto val="1"/>
        <c:lblAlgn val="ctr"/>
        <c:lblOffset val="100"/>
        <c:noMultiLvlLbl val="0"/>
      </c:catAx>
      <c:valAx>
        <c:axId val="7608912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uk-UA"/>
          </a:p>
        </c:txPr>
        <c:crossAx val="760905679"/>
        <c:crosses val="autoZero"/>
        <c:crossBetween val="between"/>
      </c:valAx>
      <c:spPr>
        <a:solidFill>
          <a:schemeClr val="bg1">
            <a:lumMod val="95000"/>
          </a:schemeClr>
        </a:solidFill>
        <a:ln>
          <a:solidFill>
            <a:schemeClr val="tx2">
              <a:lumMod val="25000"/>
              <a:lumOff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2">
          <a:lumMod val="25000"/>
          <a:lumOff val="7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[HRDataset_analysis.xlsx]Turnover_by_experience!Зведена таблиця1</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rPr>
              <a:t>Average experience of the terminated employees</a:t>
            </a:r>
            <a:endParaRPr lang="uk-UA" b="1">
              <a:solidFill>
                <a:sysClr val="windowText" lastClr="000000"/>
              </a:solidFill>
            </a:endParaRPr>
          </a:p>
        </c:rich>
      </c:tx>
      <c:layout>
        <c:manualLayout>
          <c:xMode val="edge"/>
          <c:yMode val="edge"/>
          <c:x val="0.16511256515470774"/>
          <c:y val="4.629629629629629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uk-UA"/>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Turnover_by_experience!$B$3</c:f>
              <c:strCache>
                <c:ptCount val="1"/>
                <c:pt idx="0">
                  <c:v>Підсумок</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Turnover_by_experience!$A$4:$A$7</c:f>
              <c:strCache>
                <c:ptCount val="3"/>
                <c:pt idx="0">
                  <c:v>Active</c:v>
                </c:pt>
                <c:pt idx="1">
                  <c:v>Terminated for Cause</c:v>
                </c:pt>
                <c:pt idx="2">
                  <c:v>Voluntarily Terminated</c:v>
                </c:pt>
              </c:strCache>
            </c:strRef>
          </c:cat>
          <c:val>
            <c:numRef>
              <c:f>Turnover_by_experience!$B$4:$B$7</c:f>
              <c:numCache>
                <c:formatCode>0.0</c:formatCode>
                <c:ptCount val="3"/>
                <c:pt idx="0">
                  <c:v>11.768115942028986</c:v>
                </c:pt>
                <c:pt idx="1">
                  <c:v>3.0625</c:v>
                </c:pt>
                <c:pt idx="2">
                  <c:v>3.0795454545454546</c:v>
                </c:pt>
              </c:numCache>
            </c:numRef>
          </c:val>
          <c:extLst>
            <c:ext xmlns:c16="http://schemas.microsoft.com/office/drawing/2014/chart" uri="{C3380CC4-5D6E-409C-BE32-E72D297353CC}">
              <c16:uniqueId val="{00000000-45AC-4A2D-929E-F0C8A0BBC8CC}"/>
            </c:ext>
          </c:extLst>
        </c:ser>
        <c:dLbls>
          <c:showLegendKey val="0"/>
          <c:showVal val="0"/>
          <c:showCatName val="0"/>
          <c:showSerName val="0"/>
          <c:showPercent val="0"/>
          <c:showBubbleSize val="0"/>
        </c:dLbls>
        <c:gapWidth val="100"/>
        <c:axId val="425949696"/>
        <c:axId val="425950176"/>
      </c:barChart>
      <c:catAx>
        <c:axId val="42594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uk-UA"/>
          </a:p>
        </c:txPr>
        <c:crossAx val="425950176"/>
        <c:crosses val="autoZero"/>
        <c:auto val="1"/>
        <c:lblAlgn val="ctr"/>
        <c:lblOffset val="100"/>
        <c:noMultiLvlLbl val="0"/>
      </c:catAx>
      <c:valAx>
        <c:axId val="4259501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uk-UA"/>
          </a:p>
        </c:txPr>
        <c:crossAx val="4259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[HRDataset_analysis.xlsx]Salary_by_gender!Зведена таблиця1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latin typeface="+mj-lt"/>
              </a:rPr>
              <a:t>Average salary by gender</a:t>
            </a:r>
            <a:endParaRPr lang="uk-UA" sz="1400">
              <a:latin typeface="+mj-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k-U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12700">
            <a:solidFill>
              <a:schemeClr val="accent1">
                <a:alpha val="94000"/>
              </a:schemeClr>
            </a:solidFill>
          </a:ln>
          <a:effectLst/>
        </c:spPr>
        <c:dLbl>
          <c:idx val="0"/>
          <c:layout>
            <c:manualLayout>
              <c:x val="7.3211314475873548E-2"/>
              <c:y val="-0.1422708618331053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BEDA332-83F7-41F6-9FD3-A60EF5221A5E}" type="VALUE">
                  <a:rPr lang="en-US"/>
                  <a:pPr>
                    <a:defRPr sz="900" b="0" i="0" u="none" strike="noStrike" kern="1200" baseline="0">
                      <a:solidFill>
                        <a:schemeClr val="tx2"/>
                      </a:solidFill>
                      <a:latin typeface="+mn-lt"/>
                      <a:ea typeface="+mn-ea"/>
                      <a:cs typeface="+mn-cs"/>
                    </a:defRPr>
                  </a:pPr>
                  <a:t>[ЗНАЧЕННЯ]</a:t>
                </a:fld>
                <a:r>
                  <a:rPr lang="en-US"/>
                  <a:t>; </a:t>
                </a:r>
              </a:p>
              <a:p>
                <a:pPr>
                  <a:defRPr sz="900" b="0" i="0" u="none" strike="noStrike" kern="1200" baseline="0">
                    <a:solidFill>
                      <a:schemeClr val="tx2"/>
                    </a:solidFill>
                    <a:latin typeface="+mn-lt"/>
                    <a:ea typeface="+mn-ea"/>
                    <a:cs typeface="+mn-cs"/>
                  </a:defRPr>
                </a:pPr>
                <a:r>
                  <a:rPr lang="en-US"/>
                  <a:t>47,6%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tx2">
              <a:lumMod val="25000"/>
              <a:lumOff val="75000"/>
            </a:schemeClr>
          </a:solidFill>
          <a:ln w="12700">
            <a:solidFill>
              <a:schemeClr val="accent1">
                <a:alpha val="94000"/>
              </a:schemeClr>
            </a:solidFill>
          </a:ln>
          <a:effectLst/>
        </c:spPr>
        <c:dLbl>
          <c:idx val="0"/>
          <c:layout>
            <c:manualLayout>
              <c:x val="0.16081334371754932"/>
              <c:y val="-2.568687146638009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F986C1A3-5A66-4486-9B5D-8C05BD5FAF13}" type="VALUE">
                  <a:rPr lang="en-US"/>
                  <a:pPr>
                    <a:defRPr sz="900" b="0" i="0" u="none" strike="noStrike" kern="1200" baseline="0">
                      <a:solidFill>
                        <a:schemeClr val="tx2"/>
                      </a:solidFill>
                      <a:latin typeface="+mn-lt"/>
                      <a:ea typeface="+mn-ea"/>
                      <a:cs typeface="+mn-cs"/>
                    </a:defRPr>
                  </a:pPr>
                  <a:t>[ЗНАЧЕННЯ]</a:t>
                </a:fld>
                <a:r>
                  <a:rPr lang="en-US"/>
                  <a:t>; </a:t>
                </a:r>
              </a:p>
              <a:p>
                <a:pPr>
                  <a:defRPr sz="900" b="0" i="0" u="none" strike="noStrike" kern="1200" baseline="0">
                    <a:solidFill>
                      <a:schemeClr val="tx2"/>
                    </a:solidFill>
                    <a:latin typeface="+mn-lt"/>
                    <a:ea typeface="+mn-ea"/>
                    <a:cs typeface="+mn-cs"/>
                  </a:defRPr>
                </a:pPr>
                <a:r>
                  <a:rPr lang="en-US"/>
                  <a:t>52,4%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w="12700">
            <a:solidFill>
              <a:schemeClr val="accent1">
                <a:alpha val="94000"/>
              </a:schemeClr>
            </a:solidFill>
          </a:ln>
          <a:effectLst/>
        </c:spPr>
        <c:dLbl>
          <c:idx val="0"/>
          <c:layout>
            <c:manualLayout>
              <c:x val="7.3211314475873548E-2"/>
              <c:y val="-0.1422708618331053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BEDA332-83F7-41F6-9FD3-A60EF5221A5E}" type="VALUE">
                  <a:rPr lang="en-US"/>
                  <a:pPr>
                    <a:defRPr sz="900" b="0" i="0" u="none" strike="noStrike" kern="1200" baseline="0">
                      <a:solidFill>
                        <a:schemeClr val="tx2"/>
                      </a:solidFill>
                      <a:latin typeface="+mn-lt"/>
                      <a:ea typeface="+mn-ea"/>
                      <a:cs typeface="+mn-cs"/>
                    </a:defRPr>
                  </a:pPr>
                  <a:t>[ЗНАЧЕННЯ]</a:t>
                </a:fld>
                <a:r>
                  <a:rPr lang="en-US"/>
                  <a:t>; </a:t>
                </a:r>
              </a:p>
              <a:p>
                <a:pPr>
                  <a:defRPr sz="900" b="0" i="0" u="none" strike="noStrike" kern="1200" baseline="0">
                    <a:solidFill>
                      <a:schemeClr val="tx2"/>
                    </a:solidFill>
                    <a:latin typeface="+mn-lt"/>
                    <a:ea typeface="+mn-ea"/>
                    <a:cs typeface="+mn-cs"/>
                  </a:defRPr>
                </a:pPr>
                <a:r>
                  <a:rPr lang="en-US"/>
                  <a:t>47,6%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tx2">
              <a:lumMod val="25000"/>
              <a:lumOff val="75000"/>
            </a:schemeClr>
          </a:solidFill>
          <a:ln w="12700">
            <a:solidFill>
              <a:schemeClr val="accent1">
                <a:alpha val="94000"/>
              </a:schemeClr>
            </a:solidFill>
          </a:ln>
          <a:effectLst/>
        </c:spPr>
        <c:dLbl>
          <c:idx val="0"/>
          <c:layout>
            <c:manualLayout>
              <c:x val="0.16081334371754932"/>
              <c:y val="-2.568687146638009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F986C1A3-5A66-4486-9B5D-8C05BD5FAF13}" type="VALUE">
                  <a:rPr lang="en-US"/>
                  <a:pPr>
                    <a:defRPr sz="900" b="0" i="0" u="none" strike="noStrike" kern="1200" baseline="0">
                      <a:solidFill>
                        <a:schemeClr val="tx2"/>
                      </a:solidFill>
                      <a:latin typeface="+mn-lt"/>
                      <a:ea typeface="+mn-ea"/>
                      <a:cs typeface="+mn-cs"/>
                    </a:defRPr>
                  </a:pPr>
                  <a:t>[ЗНАЧЕННЯ]</a:t>
                </a:fld>
                <a:r>
                  <a:rPr lang="en-US"/>
                  <a:t>; </a:t>
                </a:r>
              </a:p>
              <a:p>
                <a:pPr>
                  <a:defRPr sz="900" b="0" i="0" u="none" strike="noStrike" kern="1200" baseline="0">
                    <a:solidFill>
                      <a:schemeClr val="tx2"/>
                    </a:solidFill>
                    <a:latin typeface="+mn-lt"/>
                    <a:ea typeface="+mn-ea"/>
                    <a:cs typeface="+mn-cs"/>
                  </a:defRPr>
                </a:pPr>
                <a:r>
                  <a:rPr lang="en-US"/>
                  <a:t>52,4%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w="12700">
            <a:solidFill>
              <a:schemeClr val="accent1">
                <a:alpha val="94000"/>
              </a:schemeClr>
            </a:solidFill>
          </a:ln>
          <a:effectLst/>
        </c:spPr>
        <c:dLbl>
          <c:idx val="0"/>
          <c:layout>
            <c:manualLayout>
              <c:x val="7.3211314475873548E-2"/>
              <c:y val="-0.1422708618331053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BEDA332-83F7-41F6-9FD3-A60EF5221A5E}" type="VALUE">
                  <a:rPr lang="en-US"/>
                  <a:pPr>
                    <a:defRPr/>
                  </a:pPr>
                  <a:t>[ЗНАЧЕННЯ]</a:t>
                </a:fld>
                <a:r>
                  <a:rPr lang="en-US"/>
                  <a:t>; </a:t>
                </a:r>
              </a:p>
              <a:p>
                <a:pPr>
                  <a:defRPr/>
                </a:pPr>
                <a:r>
                  <a:rPr lang="en-US"/>
                  <a:t>47,6%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tx2">
              <a:lumMod val="25000"/>
              <a:lumOff val="75000"/>
            </a:schemeClr>
          </a:solidFill>
          <a:ln w="12700">
            <a:solidFill>
              <a:schemeClr val="accent1">
                <a:alpha val="94000"/>
              </a:schemeClr>
            </a:solidFill>
          </a:ln>
          <a:effectLst/>
        </c:spPr>
        <c:dLbl>
          <c:idx val="0"/>
          <c:layout>
            <c:manualLayout>
              <c:x val="0.16081334371754932"/>
              <c:y val="-2.568687146638009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F986C1A3-5A66-4486-9B5D-8C05BD5FAF13}" type="VALUE">
                  <a:rPr lang="en-US"/>
                  <a:pPr>
                    <a:defRPr/>
                  </a:pPr>
                  <a:t>[ЗНАЧЕННЯ]</a:t>
                </a:fld>
                <a:r>
                  <a:rPr lang="en-US"/>
                  <a:t>; </a:t>
                </a:r>
              </a:p>
              <a:p>
                <a:pPr>
                  <a:defRPr/>
                </a:pPr>
                <a:r>
                  <a:rPr lang="en-US"/>
                  <a:t>52,4%</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Salary_by_gender!$B$3</c:f>
              <c:strCache>
                <c:ptCount val="1"/>
                <c:pt idx="0">
                  <c:v>Підсумок</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accent1">
                  <a:alpha val="94000"/>
                </a:schemeClr>
              </a:solidFill>
            </a:ln>
            <a:effectLst/>
          </c:spPr>
          <c:invertIfNegative val="0"/>
          <c:dPt>
            <c:idx val="0"/>
            <c:invertIfNegative val="0"/>
            <c:bubble3D val="0"/>
            <c:spPr>
              <a:solidFill>
                <a:schemeClr val="accent5">
                  <a:lumMod val="40000"/>
                  <a:lumOff val="60000"/>
                </a:schemeClr>
              </a:solidFill>
              <a:ln w="12700">
                <a:solidFill>
                  <a:schemeClr val="accent1">
                    <a:alpha val="94000"/>
                  </a:schemeClr>
                </a:solidFill>
              </a:ln>
              <a:effectLst/>
            </c:spPr>
            <c:extLst>
              <c:ext xmlns:c16="http://schemas.microsoft.com/office/drawing/2014/chart" uri="{C3380CC4-5D6E-409C-BE32-E72D297353CC}">
                <c16:uniqueId val="{00000001-E25F-45A9-BF24-855F8A760B49}"/>
              </c:ext>
            </c:extLst>
          </c:dPt>
          <c:dPt>
            <c:idx val="1"/>
            <c:invertIfNegative val="0"/>
            <c:bubble3D val="0"/>
            <c:spPr>
              <a:solidFill>
                <a:schemeClr val="tx2">
                  <a:lumMod val="25000"/>
                  <a:lumOff val="75000"/>
                </a:schemeClr>
              </a:solidFill>
              <a:ln w="12700">
                <a:solidFill>
                  <a:schemeClr val="accent1">
                    <a:alpha val="94000"/>
                  </a:schemeClr>
                </a:solidFill>
              </a:ln>
              <a:effectLst/>
            </c:spPr>
            <c:extLst>
              <c:ext xmlns:c16="http://schemas.microsoft.com/office/drawing/2014/chart" uri="{C3380CC4-5D6E-409C-BE32-E72D297353CC}">
                <c16:uniqueId val="{00000003-E25F-45A9-BF24-855F8A760B49}"/>
              </c:ext>
            </c:extLst>
          </c:dPt>
          <c:dLbls>
            <c:dLbl>
              <c:idx val="0"/>
              <c:layout>
                <c:manualLayout>
                  <c:x val="7.3211314475873548E-2"/>
                  <c:y val="-0.14227086183310533"/>
                </c:manualLayout>
              </c:layout>
              <c:tx>
                <c:rich>
                  <a:bodyPr/>
                  <a:lstStyle/>
                  <a:p>
                    <a:fld id="{CBEDA332-83F7-41F6-9FD3-A60EF5221A5E}" type="VALUE">
                      <a:rPr lang="en-US"/>
                      <a:pPr/>
                      <a:t>[ЗНАЧЕННЯ]</a:t>
                    </a:fld>
                    <a:r>
                      <a:rPr lang="en-US"/>
                      <a:t>; </a:t>
                    </a:r>
                  </a:p>
                  <a:p>
                    <a:r>
                      <a:rPr lang="en-US"/>
                      <a:t>47,6%</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25F-45A9-BF24-855F8A760B49}"/>
                </c:ext>
              </c:extLst>
            </c:dLbl>
            <c:dLbl>
              <c:idx val="1"/>
              <c:layout>
                <c:manualLayout>
                  <c:x val="0.16081334371754932"/>
                  <c:y val="-2.5686871466380095E-3"/>
                </c:manualLayout>
              </c:layout>
              <c:tx>
                <c:rich>
                  <a:bodyPr/>
                  <a:lstStyle/>
                  <a:p>
                    <a:fld id="{F986C1A3-5A66-4486-9B5D-8C05BD5FAF13}" type="VALUE">
                      <a:rPr lang="en-US"/>
                      <a:pPr/>
                      <a:t>[ЗНАЧЕННЯ]</a:t>
                    </a:fld>
                    <a:r>
                      <a:rPr lang="en-US"/>
                      <a:t>; </a:t>
                    </a:r>
                  </a:p>
                  <a:p>
                    <a:r>
                      <a:rPr lang="en-US"/>
                      <a:t>52,4%</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25F-45A9-BF24-855F8A760B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k-U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Salary_by_gender!$A$4:$A$6</c:f>
              <c:strCache>
                <c:ptCount val="2"/>
                <c:pt idx="0">
                  <c:v>F</c:v>
                </c:pt>
                <c:pt idx="1">
                  <c:v>M </c:v>
                </c:pt>
              </c:strCache>
            </c:strRef>
          </c:cat>
          <c:val>
            <c:numRef>
              <c:f>Salary_by_gender!$B$4:$B$6</c:f>
              <c:numCache>
                <c:formatCode>0</c:formatCode>
                <c:ptCount val="2"/>
                <c:pt idx="0">
                  <c:v>67786.727272727279</c:v>
                </c:pt>
                <c:pt idx="1">
                  <c:v>70629.399999999994</c:v>
                </c:pt>
              </c:numCache>
            </c:numRef>
          </c:val>
          <c:extLst>
            <c:ext xmlns:c16="http://schemas.microsoft.com/office/drawing/2014/chart" uri="{C3380CC4-5D6E-409C-BE32-E72D297353CC}">
              <c16:uniqueId val="{00000004-E25F-45A9-BF24-855F8A760B49}"/>
            </c:ext>
          </c:extLst>
        </c:ser>
        <c:dLbls>
          <c:showLegendKey val="0"/>
          <c:showVal val="0"/>
          <c:showCatName val="0"/>
          <c:showSerName val="0"/>
          <c:showPercent val="0"/>
          <c:showBubbleSize val="0"/>
        </c:dLbls>
        <c:gapWidth val="100"/>
        <c:axId val="19026335"/>
        <c:axId val="2134147343"/>
      </c:barChart>
      <c:catAx>
        <c:axId val="190263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crossAx val="2134147343"/>
        <c:crosses val="autoZero"/>
        <c:auto val="1"/>
        <c:lblAlgn val="ctr"/>
        <c:lblOffset val="100"/>
        <c:noMultiLvlLbl val="0"/>
      </c:catAx>
      <c:valAx>
        <c:axId val="2134147343"/>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crossAx val="1902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[HRDataset_analysis.xlsx]Salary_by_department!Зведена таблиця1</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ysClr val="windowText" lastClr="000000"/>
                </a:solidFill>
                <a:latin typeface="+mj-lt"/>
              </a:rPr>
              <a:t>Average salary by departments</a:t>
            </a:r>
            <a:endParaRPr lang="uk-UA" b="1">
              <a:solidFill>
                <a:sysClr val="windowText" lastClr="000000"/>
              </a:solidFill>
              <a:latin typeface="+mj-lt"/>
            </a:endParaRPr>
          </a:p>
        </c:rich>
      </c:tx>
      <c:layout>
        <c:manualLayout>
          <c:xMode val="edge"/>
          <c:yMode val="edge"/>
          <c:x val="0.24800678040244969"/>
          <c:y val="2.314814814814814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uk-UA"/>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Salary_by_department!$B$3</c:f>
              <c:strCache>
                <c:ptCount val="1"/>
                <c:pt idx="0">
                  <c:v>Середнє з Salary</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Salary_by_department!$A$4:$A$10</c:f>
              <c:strCache>
                <c:ptCount val="6"/>
                <c:pt idx="0">
                  <c:v>Executive Office</c:v>
                </c:pt>
                <c:pt idx="1">
                  <c:v>IT/IS</c:v>
                </c:pt>
                <c:pt idx="2">
                  <c:v>Software Engineering</c:v>
                </c:pt>
                <c:pt idx="3">
                  <c:v>Admin Offices</c:v>
                </c:pt>
                <c:pt idx="4">
                  <c:v>Sales</c:v>
                </c:pt>
                <c:pt idx="5">
                  <c:v>Production</c:v>
                </c:pt>
              </c:strCache>
            </c:strRef>
          </c:cat>
          <c:val>
            <c:numRef>
              <c:f>Salary_by_department!$B$4:$B$10</c:f>
              <c:numCache>
                <c:formatCode>0</c:formatCode>
                <c:ptCount val="6"/>
                <c:pt idx="0">
                  <c:v>250000</c:v>
                </c:pt>
                <c:pt idx="1">
                  <c:v>97064.639999999999</c:v>
                </c:pt>
                <c:pt idx="2">
                  <c:v>94989.454545454544</c:v>
                </c:pt>
                <c:pt idx="3">
                  <c:v>71791.888888888891</c:v>
                </c:pt>
                <c:pt idx="4">
                  <c:v>69061.258064516136</c:v>
                </c:pt>
                <c:pt idx="5">
                  <c:v>59953.545454545456</c:v>
                </c:pt>
              </c:numCache>
            </c:numRef>
          </c:val>
          <c:extLst>
            <c:ext xmlns:c16="http://schemas.microsoft.com/office/drawing/2014/chart" uri="{C3380CC4-5D6E-409C-BE32-E72D297353CC}">
              <c16:uniqueId val="{00000000-D214-4F36-93C2-BCD4731EDB75}"/>
            </c:ext>
          </c:extLst>
        </c:ser>
        <c:ser>
          <c:idx val="1"/>
          <c:order val="1"/>
          <c:tx>
            <c:strRef>
              <c:f>Salary_by_department!$C$3</c:f>
              <c:strCache>
                <c:ptCount val="1"/>
                <c:pt idx="0">
                  <c:v>Кількість з Position</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Salary_by_department!$A$4:$A$10</c:f>
              <c:strCache>
                <c:ptCount val="6"/>
                <c:pt idx="0">
                  <c:v>Executive Office</c:v>
                </c:pt>
                <c:pt idx="1">
                  <c:v>IT/IS</c:v>
                </c:pt>
                <c:pt idx="2">
                  <c:v>Software Engineering</c:v>
                </c:pt>
                <c:pt idx="3">
                  <c:v>Admin Offices</c:v>
                </c:pt>
                <c:pt idx="4">
                  <c:v>Sales</c:v>
                </c:pt>
                <c:pt idx="5">
                  <c:v>Production</c:v>
                </c:pt>
              </c:strCache>
            </c:strRef>
          </c:cat>
          <c:val>
            <c:numRef>
              <c:f>Salary_by_department!$C$4:$C$10</c:f>
              <c:numCache>
                <c:formatCode>General</c:formatCode>
                <c:ptCount val="6"/>
                <c:pt idx="0">
                  <c:v>1</c:v>
                </c:pt>
                <c:pt idx="1">
                  <c:v>50</c:v>
                </c:pt>
                <c:pt idx="2">
                  <c:v>11</c:v>
                </c:pt>
                <c:pt idx="3">
                  <c:v>9</c:v>
                </c:pt>
                <c:pt idx="4">
                  <c:v>31</c:v>
                </c:pt>
                <c:pt idx="5">
                  <c:v>209</c:v>
                </c:pt>
              </c:numCache>
            </c:numRef>
          </c:val>
          <c:extLst>
            <c:ext xmlns:c16="http://schemas.microsoft.com/office/drawing/2014/chart" uri="{C3380CC4-5D6E-409C-BE32-E72D297353CC}">
              <c16:uniqueId val="{00000001-D214-4F36-93C2-BCD4731EDB75}"/>
            </c:ext>
          </c:extLst>
        </c:ser>
        <c:dLbls>
          <c:dLblPos val="outEnd"/>
          <c:showLegendKey val="0"/>
          <c:showVal val="1"/>
          <c:showCatName val="0"/>
          <c:showSerName val="0"/>
          <c:showPercent val="0"/>
          <c:showBubbleSize val="0"/>
        </c:dLbls>
        <c:gapWidth val="100"/>
        <c:overlap val="-24"/>
        <c:axId val="791425119"/>
        <c:axId val="791419839"/>
      </c:barChart>
      <c:catAx>
        <c:axId val="7914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uk-UA"/>
          </a:p>
        </c:txPr>
        <c:crossAx val="791419839"/>
        <c:crosses val="autoZero"/>
        <c:auto val="1"/>
        <c:lblAlgn val="ctr"/>
        <c:lblOffset val="100"/>
        <c:noMultiLvlLbl val="0"/>
      </c:catAx>
      <c:valAx>
        <c:axId val="791419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uk-UA"/>
          </a:p>
        </c:txPr>
        <c:crossAx val="79142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[HRDataset_analysis.xlsx]Salary_by_age!Зведена таблиця1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mj-lt"/>
              </a:rPr>
              <a:t>Average</a:t>
            </a:r>
            <a:r>
              <a:rPr lang="en-US" b="1" baseline="0">
                <a:solidFill>
                  <a:sysClr val="windowText" lastClr="000000"/>
                </a:solidFill>
                <a:latin typeface="+mj-lt"/>
              </a:rPr>
              <a:t> salary by age</a:t>
            </a:r>
            <a:endParaRPr lang="uk-UA"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Salary_by_age!$B$3</c:f>
              <c:strCache>
                <c:ptCount val="1"/>
                <c:pt idx="0">
                  <c:v>Підсумок</c:v>
                </c:pt>
              </c:strCache>
            </c:strRef>
          </c:tx>
          <c:spPr>
            <a:ln w="28575" cap="rnd">
              <a:solidFill>
                <a:schemeClr val="accent1"/>
              </a:solidFill>
              <a:round/>
            </a:ln>
            <a:effectLst/>
          </c:spPr>
          <c:marker>
            <c:symbol val="none"/>
          </c:marker>
          <c:cat>
            <c:strRef>
              <c:f>Salary_by_age!$A$4:$A$42</c:f>
              <c:strCache>
                <c:ptCount val="38"/>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49</c:v>
                </c:pt>
                <c:pt idx="17">
                  <c:v>50</c:v>
                </c:pt>
                <c:pt idx="18">
                  <c:v>51</c:v>
                </c:pt>
                <c:pt idx="19">
                  <c:v>52</c:v>
                </c:pt>
                <c:pt idx="20">
                  <c:v>53</c:v>
                </c:pt>
                <c:pt idx="21">
                  <c:v>54</c:v>
                </c:pt>
                <c:pt idx="22">
                  <c:v>55</c:v>
                </c:pt>
                <c:pt idx="23">
                  <c:v>56</c:v>
                </c:pt>
                <c:pt idx="24">
                  <c:v>57</c:v>
                </c:pt>
                <c:pt idx="25">
                  <c:v>58</c:v>
                </c:pt>
                <c:pt idx="26">
                  <c:v>59</c:v>
                </c:pt>
                <c:pt idx="27">
                  <c:v>60</c:v>
                </c:pt>
                <c:pt idx="28">
                  <c:v>61</c:v>
                </c:pt>
                <c:pt idx="29">
                  <c:v>62</c:v>
                </c:pt>
                <c:pt idx="30">
                  <c:v>64</c:v>
                </c:pt>
                <c:pt idx="31">
                  <c:v>66</c:v>
                </c:pt>
                <c:pt idx="32">
                  <c:v>67</c:v>
                </c:pt>
                <c:pt idx="33">
                  <c:v>70</c:v>
                </c:pt>
                <c:pt idx="34">
                  <c:v>71</c:v>
                </c:pt>
                <c:pt idx="35">
                  <c:v>72</c:v>
                </c:pt>
                <c:pt idx="36">
                  <c:v>73</c:v>
                </c:pt>
                <c:pt idx="37">
                  <c:v>74</c:v>
                </c:pt>
              </c:strCache>
            </c:strRef>
          </c:cat>
          <c:val>
            <c:numRef>
              <c:f>Salary_by_age!$B$4:$B$42</c:f>
              <c:numCache>
                <c:formatCode>0</c:formatCode>
                <c:ptCount val="38"/>
                <c:pt idx="0">
                  <c:v>58740</c:v>
                </c:pt>
                <c:pt idx="1">
                  <c:v>56612.333333333336</c:v>
                </c:pt>
                <c:pt idx="2">
                  <c:v>60010</c:v>
                </c:pt>
                <c:pt idx="3">
                  <c:v>63927.6</c:v>
                </c:pt>
                <c:pt idx="4">
                  <c:v>65427.555555555555</c:v>
                </c:pt>
                <c:pt idx="5">
                  <c:v>71174.444444444438</c:v>
                </c:pt>
                <c:pt idx="6">
                  <c:v>74990</c:v>
                </c:pt>
                <c:pt idx="7">
                  <c:v>61182.214285714283</c:v>
                </c:pt>
                <c:pt idx="8">
                  <c:v>71728.399999999994</c:v>
                </c:pt>
                <c:pt idx="9">
                  <c:v>71999.952380952382</c:v>
                </c:pt>
                <c:pt idx="10">
                  <c:v>57846.25</c:v>
                </c:pt>
                <c:pt idx="11">
                  <c:v>66353.71428571429</c:v>
                </c:pt>
                <c:pt idx="12">
                  <c:v>74485.222222222219</c:v>
                </c:pt>
                <c:pt idx="13">
                  <c:v>78318.894736842107</c:v>
                </c:pt>
                <c:pt idx="14">
                  <c:v>65068.875</c:v>
                </c:pt>
                <c:pt idx="15">
                  <c:v>58371.75</c:v>
                </c:pt>
                <c:pt idx="16">
                  <c:v>63770.111111111109</c:v>
                </c:pt>
                <c:pt idx="17">
                  <c:v>64360.444444444445</c:v>
                </c:pt>
                <c:pt idx="18">
                  <c:v>56556.090909090912</c:v>
                </c:pt>
                <c:pt idx="19">
                  <c:v>75090.777777777781</c:v>
                </c:pt>
                <c:pt idx="20">
                  <c:v>83097.71428571429</c:v>
                </c:pt>
                <c:pt idx="21">
                  <c:v>75071.333333333328</c:v>
                </c:pt>
                <c:pt idx="22">
                  <c:v>70767.818181818177</c:v>
                </c:pt>
                <c:pt idx="23">
                  <c:v>66627.428571428565</c:v>
                </c:pt>
                <c:pt idx="24">
                  <c:v>64678.285714285717</c:v>
                </c:pt>
                <c:pt idx="25">
                  <c:v>55081.75</c:v>
                </c:pt>
                <c:pt idx="26">
                  <c:v>93223</c:v>
                </c:pt>
                <c:pt idx="27">
                  <c:v>62638.2</c:v>
                </c:pt>
                <c:pt idx="28">
                  <c:v>91254.399999999994</c:v>
                </c:pt>
                <c:pt idx="29">
                  <c:v>66589</c:v>
                </c:pt>
                <c:pt idx="30">
                  <c:v>59472</c:v>
                </c:pt>
                <c:pt idx="31">
                  <c:v>55878</c:v>
                </c:pt>
                <c:pt idx="32">
                  <c:v>70507</c:v>
                </c:pt>
                <c:pt idx="33">
                  <c:v>69130</c:v>
                </c:pt>
                <c:pt idx="34">
                  <c:v>155904.5</c:v>
                </c:pt>
                <c:pt idx="35">
                  <c:v>72202</c:v>
                </c:pt>
                <c:pt idx="36">
                  <c:v>69723.666666666672</c:v>
                </c:pt>
                <c:pt idx="37">
                  <c:v>59965.5</c:v>
                </c:pt>
              </c:numCache>
            </c:numRef>
          </c:val>
          <c:smooth val="0"/>
          <c:extLst>
            <c:ext xmlns:c16="http://schemas.microsoft.com/office/drawing/2014/chart" uri="{C3380CC4-5D6E-409C-BE32-E72D297353CC}">
              <c16:uniqueId val="{00000000-16BB-4D95-97E0-DA3A52A06A55}"/>
            </c:ext>
          </c:extLst>
        </c:ser>
        <c:dLbls>
          <c:showLegendKey val="0"/>
          <c:showVal val="0"/>
          <c:showCatName val="0"/>
          <c:showSerName val="0"/>
          <c:showPercent val="0"/>
          <c:showBubbleSize val="0"/>
        </c:dLbls>
        <c:smooth val="0"/>
        <c:axId val="270980160"/>
        <c:axId val="270978240"/>
      </c:lineChart>
      <c:catAx>
        <c:axId val="27098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70978240"/>
        <c:crosses val="autoZero"/>
        <c:auto val="1"/>
        <c:lblAlgn val="ctr"/>
        <c:lblOffset val="100"/>
        <c:noMultiLvlLbl val="0"/>
      </c:catAx>
      <c:valAx>
        <c:axId val="270978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7098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[HRDataset_analysis.xlsx]Salary_by_experience!Зведена таблиця2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mj-lt"/>
              </a:rPr>
              <a:t>Average salary by experience</a:t>
            </a:r>
            <a:endParaRPr lang="uk-UA"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Salary_by_experience!$B$3</c:f>
              <c:strCache>
                <c:ptCount val="1"/>
                <c:pt idx="0">
                  <c:v>Підсумок</c:v>
                </c:pt>
              </c:strCache>
            </c:strRef>
          </c:tx>
          <c:spPr>
            <a:ln w="28575" cap="rnd">
              <a:solidFill>
                <a:schemeClr val="accent1"/>
              </a:solidFill>
              <a:round/>
            </a:ln>
            <a:effectLst/>
          </c:spPr>
          <c:marker>
            <c:symbol val="none"/>
          </c:marker>
          <c:cat>
            <c:strRef>
              <c:f>Salary_by_experience!$A$4:$A$24</c:f>
              <c:strCach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strCache>
            </c:strRef>
          </c:cat>
          <c:val>
            <c:numRef>
              <c:f>Salary_by_experience!$B$4:$B$24</c:f>
              <c:numCache>
                <c:formatCode>0</c:formatCode>
                <c:ptCount val="20"/>
                <c:pt idx="0">
                  <c:v>70947.555555555562</c:v>
                </c:pt>
                <c:pt idx="1">
                  <c:v>69807.850000000006</c:v>
                </c:pt>
                <c:pt idx="2">
                  <c:v>73319.28571428571</c:v>
                </c:pt>
                <c:pt idx="3">
                  <c:v>70365.789473684214</c:v>
                </c:pt>
                <c:pt idx="4">
                  <c:v>57802.0625</c:v>
                </c:pt>
                <c:pt idx="5">
                  <c:v>60863.666666666664</c:v>
                </c:pt>
                <c:pt idx="6">
                  <c:v>58991.333333333336</c:v>
                </c:pt>
                <c:pt idx="7">
                  <c:v>51621.4</c:v>
                </c:pt>
                <c:pt idx="8">
                  <c:v>101509</c:v>
                </c:pt>
                <c:pt idx="9">
                  <c:v>73837.46666666666</c:v>
                </c:pt>
                <c:pt idx="10">
                  <c:v>70206.620689655174</c:v>
                </c:pt>
                <c:pt idx="11">
                  <c:v>68069.528301886792</c:v>
                </c:pt>
                <c:pt idx="12">
                  <c:v>64594.729729729726</c:v>
                </c:pt>
                <c:pt idx="13">
                  <c:v>72849.275862068971</c:v>
                </c:pt>
                <c:pt idx="14">
                  <c:v>66858.291666666672</c:v>
                </c:pt>
                <c:pt idx="15">
                  <c:v>89136.166666666672</c:v>
                </c:pt>
                <c:pt idx="16">
                  <c:v>95342.5</c:v>
                </c:pt>
                <c:pt idx="17">
                  <c:v>63995.5</c:v>
                </c:pt>
                <c:pt idx="18">
                  <c:v>47001</c:v>
                </c:pt>
                <c:pt idx="19">
                  <c:v>64397</c:v>
                </c:pt>
              </c:numCache>
            </c:numRef>
          </c:val>
          <c:smooth val="0"/>
          <c:extLst>
            <c:ext xmlns:c16="http://schemas.microsoft.com/office/drawing/2014/chart" uri="{C3380CC4-5D6E-409C-BE32-E72D297353CC}">
              <c16:uniqueId val="{00000000-A452-4954-AEB7-1FFC712E48AB}"/>
            </c:ext>
          </c:extLst>
        </c:ser>
        <c:dLbls>
          <c:showLegendKey val="0"/>
          <c:showVal val="0"/>
          <c:showCatName val="0"/>
          <c:showSerName val="0"/>
          <c:showPercent val="0"/>
          <c:showBubbleSize val="0"/>
        </c:dLbls>
        <c:smooth val="0"/>
        <c:axId val="2053142096"/>
        <c:axId val="2053139216"/>
      </c:lineChart>
      <c:catAx>
        <c:axId val="20531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053139216"/>
        <c:crosses val="autoZero"/>
        <c:auto val="1"/>
        <c:lblAlgn val="ctr"/>
        <c:lblOffset val="100"/>
        <c:noMultiLvlLbl val="0"/>
      </c:catAx>
      <c:valAx>
        <c:axId val="205313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20531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25000"/>
          <a:lumOff val="7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22224</xdr:colOff>
      <xdr:row>2</xdr:row>
      <xdr:rowOff>25400</xdr:rowOff>
    </xdr:from>
    <xdr:to>
      <xdr:col>13</xdr:col>
      <xdr:colOff>6350</xdr:colOff>
      <xdr:row>25</xdr:row>
      <xdr:rowOff>171450</xdr:rowOff>
    </xdr:to>
    <xdr:graphicFrame macro="">
      <xdr:nvGraphicFramePr>
        <xdr:cNvPr id="2" name="Діаграма 1">
          <a:extLst>
            <a:ext uri="{FF2B5EF4-FFF2-40B4-BE49-F238E27FC236}">
              <a16:creationId xmlns:a16="http://schemas.microsoft.com/office/drawing/2014/main" id="{C273F6B0-EA20-83EF-24A8-F2AC2D1B5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31750</xdr:colOff>
      <xdr:row>2</xdr:row>
      <xdr:rowOff>6350</xdr:rowOff>
    </xdr:from>
    <xdr:ext cx="4641850" cy="4419600"/>
    <xdr:sp macro="" textlink="">
      <xdr:nvSpPr>
        <xdr:cNvPr id="3" name="TextBox 2">
          <a:extLst>
            <a:ext uri="{FF2B5EF4-FFF2-40B4-BE49-F238E27FC236}">
              <a16:creationId xmlns:a16="http://schemas.microsoft.com/office/drawing/2014/main" id="{D0CF09A4-F8F9-C09B-75FD-7166B8398431}"/>
            </a:ext>
          </a:extLst>
        </xdr:cNvPr>
        <xdr:cNvSpPr txBox="1"/>
      </xdr:nvSpPr>
      <xdr:spPr>
        <a:xfrm>
          <a:off x="10769600" y="425450"/>
          <a:ext cx="4641850" cy="4419600"/>
        </a:xfrm>
        <a:prstGeom prst="rect">
          <a:avLst/>
        </a:prstGeom>
        <a:solidFill>
          <a:schemeClr val="bg1">
            <a:lumMod val="95000"/>
          </a:schemeClr>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Key findings:</a:t>
          </a:r>
        </a:p>
        <a:p>
          <a:r>
            <a:rPr lang="en-US" sz="1100"/>
            <a:t>►</a:t>
          </a:r>
          <a:r>
            <a:rPr lang="en-US" sz="1100" b="1" i="1"/>
            <a:t>General</a:t>
          </a:r>
        </a:p>
        <a:p>
          <a:r>
            <a:rPr lang="en-US" sz="1100"/>
            <a:t>The company has 311 employees, 207 are active and 104 have resigned (both voluntarily and for cause). </a:t>
          </a:r>
          <a:r>
            <a:rPr lang="en-US" sz="1100" u="sng"/>
            <a:t>The employee turnover is ≈33%, </a:t>
          </a:r>
          <a:r>
            <a:rPr lang="en-US" sz="1100"/>
            <a:t>which is a fairly high level. </a:t>
          </a:r>
        </a:p>
        <a:p>
          <a:endParaRPr lang="en-US" sz="1100"/>
        </a:p>
        <a:p>
          <a:r>
            <a:rPr lang="en-US" sz="1100"/>
            <a:t>►</a:t>
          </a:r>
          <a:r>
            <a:rPr lang="en-US" sz="1100" b="1"/>
            <a:t>Departments with the highest turnover</a:t>
          </a:r>
        </a:p>
        <a:p>
          <a:r>
            <a:rPr lang="en-US" sz="1100" u="sng"/>
            <a:t>Production</a:t>
          </a:r>
          <a:r>
            <a:rPr lang="en-US" sz="1100"/>
            <a:t> is the largest department in terms of the total number of employees (209) and with a critically high level of turnover (83), which is ≈40%. </a:t>
          </a:r>
        </a:p>
        <a:p>
          <a:r>
            <a:rPr lang="en-US" sz="1100" u="sng"/>
            <a:t>IT/IS </a:t>
          </a:r>
          <a:r>
            <a:rPr lang="en-US" sz="1100"/>
            <a:t>- 50 employees, 10 have been dismissed, which is ≈20%. </a:t>
          </a:r>
        </a:p>
        <a:p>
          <a:r>
            <a:rPr lang="en-US" sz="1100" u="sng"/>
            <a:t>Software Engineering</a:t>
          </a:r>
          <a:r>
            <a:rPr lang="en-US" sz="1100"/>
            <a:t> - 11 people, 4 have been dismissed, which is ≈36% - also a high turnover. </a:t>
          </a:r>
        </a:p>
        <a:p>
          <a:endParaRPr lang="en-US" sz="1100"/>
        </a:p>
        <a:p>
          <a:r>
            <a:rPr lang="en-US" sz="1100"/>
            <a:t>►</a:t>
          </a:r>
          <a:r>
            <a:rPr lang="en-US" sz="1100" b="1"/>
            <a:t>Conclusions</a:t>
          </a:r>
          <a:endParaRPr lang="en-US" sz="1100"/>
        </a:p>
        <a:p>
          <a:r>
            <a:rPr lang="en-US" sz="1100"/>
            <a:t>Production is the biggest problem (40% turnover). This can affect the continuity of processes and increase the costs of searching for and training personnel. Voluntary dismissals (75) significantly exceed dismissals</a:t>
          </a:r>
          <a:r>
            <a:rPr lang="en-US" sz="1100" baseline="0"/>
            <a:t> for cause</a:t>
          </a:r>
          <a:r>
            <a:rPr lang="en-US" sz="1100"/>
            <a:t> (8). This is a signal that employees  leave due to low motivation, working conditions or salary. IT and Software Engineering also have increased turnover. Here the reason may be high competition in the market (better conditions in other companies). Admin Offices, Sales - more stable.</a:t>
          </a:r>
        </a:p>
        <a:p>
          <a:endParaRPr lang="en-US" sz="1100"/>
        </a:p>
        <a:p>
          <a:r>
            <a:rPr lang="en-US" sz="1100"/>
            <a:t>In general, the turnover of personnel is uneven across departments. </a:t>
          </a:r>
          <a:r>
            <a:rPr lang="en-US" sz="1100" u="sng"/>
            <a:t>The company should focus on Production and IT/IS, because there are the greatest losses.</a:t>
          </a:r>
          <a:endParaRPr lang="uk-UA" sz="1100" u="sng"/>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606425</xdr:colOff>
      <xdr:row>1</xdr:row>
      <xdr:rowOff>180974</xdr:rowOff>
    </xdr:from>
    <xdr:to>
      <xdr:col>10</xdr:col>
      <xdr:colOff>301625</xdr:colOff>
      <xdr:row>16</xdr:row>
      <xdr:rowOff>177799</xdr:rowOff>
    </xdr:to>
    <xdr:graphicFrame macro="">
      <xdr:nvGraphicFramePr>
        <xdr:cNvPr id="2" name="Діаграма 1">
          <a:extLst>
            <a:ext uri="{FF2B5EF4-FFF2-40B4-BE49-F238E27FC236}">
              <a16:creationId xmlns:a16="http://schemas.microsoft.com/office/drawing/2014/main" id="{C5E234C0-53AA-DBF9-529F-F7EE391C3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12700</xdr:colOff>
      <xdr:row>2</xdr:row>
      <xdr:rowOff>0</xdr:rowOff>
    </xdr:from>
    <xdr:ext cx="3822700" cy="2768600"/>
    <xdr:sp macro="" textlink="">
      <xdr:nvSpPr>
        <xdr:cNvPr id="3" name="TextBox 2">
          <a:extLst>
            <a:ext uri="{FF2B5EF4-FFF2-40B4-BE49-F238E27FC236}">
              <a16:creationId xmlns:a16="http://schemas.microsoft.com/office/drawing/2014/main" id="{3B05B213-4563-6D50-2FBB-27F7D37D717C}"/>
            </a:ext>
          </a:extLst>
        </xdr:cNvPr>
        <xdr:cNvSpPr txBox="1"/>
      </xdr:nvSpPr>
      <xdr:spPr>
        <a:xfrm>
          <a:off x="9112250" y="419100"/>
          <a:ext cx="3822700" cy="2768600"/>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 absolute ratio of women/men in the company is 176/135,</a:t>
          </a:r>
          <a:r>
            <a:rPr lang="en-US" sz="1100" baseline="0"/>
            <a:t> relative ratio: </a:t>
          </a:r>
          <a:r>
            <a:rPr lang="en-US" sz="1100"/>
            <a:t>57%/43%. </a:t>
          </a:r>
        </a:p>
        <a:p>
          <a:endParaRPr lang="en-US" sz="1100"/>
        </a:p>
        <a:p>
          <a:r>
            <a:rPr lang="en-US" sz="1100"/>
            <a:t>Absolute indicators among Voluntarily Terminated</a:t>
          </a:r>
          <a:r>
            <a:rPr lang="en-US" sz="1100" baseline="0"/>
            <a:t> employees</a:t>
          </a:r>
          <a:r>
            <a:rPr lang="en-US" sz="1100"/>
            <a:t>: </a:t>
          </a:r>
          <a:r>
            <a:rPr lang="en-US" sz="1100">
              <a:solidFill>
                <a:schemeClr val="tx1"/>
              </a:solidFill>
              <a:effectLst/>
              <a:latin typeface="+mn-lt"/>
              <a:ea typeface="+mn-ea"/>
              <a:cs typeface="+mn-cs"/>
            </a:rPr>
            <a:t>women - 51, men - 37, relative</a:t>
          </a:r>
          <a:r>
            <a:rPr lang="en-US" sz="1100" baseline="0">
              <a:solidFill>
                <a:schemeClr val="tx1"/>
              </a:solidFill>
              <a:effectLst/>
              <a:latin typeface="+mn-lt"/>
              <a:ea typeface="+mn-ea"/>
              <a:cs typeface="+mn-cs"/>
            </a:rPr>
            <a:t> ratio: </a:t>
          </a:r>
          <a:r>
            <a:rPr lang="en-US" sz="1100"/>
            <a:t>women - 29%, men - 27%. </a:t>
          </a:r>
        </a:p>
        <a:p>
          <a:endParaRPr lang="en-US" sz="1100"/>
        </a:p>
        <a:p>
          <a:r>
            <a:rPr lang="en-US" sz="1100"/>
            <a:t>Absolute indicators among </a:t>
          </a:r>
          <a:r>
            <a:rPr lang="en-US" sz="1100">
              <a:solidFill>
                <a:schemeClr val="tx1"/>
              </a:solidFill>
              <a:effectLst/>
              <a:latin typeface="+mn-lt"/>
              <a:ea typeface="+mn-ea"/>
              <a:cs typeface="+mn-cs"/>
            </a:rPr>
            <a:t>Terminated</a:t>
          </a:r>
          <a:r>
            <a:rPr lang="en-US" sz="1100" baseline="0">
              <a:solidFill>
                <a:schemeClr val="tx1"/>
              </a:solidFill>
              <a:effectLst/>
              <a:latin typeface="+mn-lt"/>
              <a:ea typeface="+mn-ea"/>
              <a:cs typeface="+mn-cs"/>
            </a:rPr>
            <a:t> for Cause employees</a:t>
          </a:r>
          <a:r>
            <a:rPr lang="en-US" sz="1100"/>
            <a:t>: </a:t>
          </a:r>
          <a:r>
            <a:rPr lang="en-US" sz="1100">
              <a:solidFill>
                <a:schemeClr val="tx1"/>
              </a:solidFill>
              <a:effectLst/>
              <a:latin typeface="+mn-lt"/>
              <a:ea typeface="+mn-ea"/>
              <a:cs typeface="+mn-cs"/>
            </a:rPr>
            <a:t>women - 9, men - 7, relative indicators: </a:t>
          </a:r>
          <a:r>
            <a:rPr lang="en-US" sz="1100"/>
            <a:t>women - 5%, men - 5%.</a:t>
          </a:r>
        </a:p>
        <a:p>
          <a:endParaRPr lang="en-US" sz="1100"/>
        </a:p>
        <a:p>
          <a:r>
            <a:rPr lang="en-US" sz="1100"/>
            <a:t>►</a:t>
          </a:r>
          <a:r>
            <a:rPr lang="en-US" sz="1100" b="1"/>
            <a:t>Conclusions</a:t>
          </a:r>
          <a:r>
            <a:rPr lang="en-US" sz="1100"/>
            <a:t>: In absolute numbers, we can see that more women are dismissed, but the total number of women in the company is also larger, so this is expected. In the calculation of Voluntary Terminated</a:t>
          </a:r>
          <a:r>
            <a:rPr lang="en-US" sz="1100" baseline="0"/>
            <a:t> and </a:t>
          </a:r>
          <a:r>
            <a:rPr lang="en-US" sz="1100"/>
            <a:t>Terminated for Cause employees</a:t>
          </a:r>
          <a:r>
            <a:rPr lang="en-US" sz="1100" baseline="0"/>
            <a:t> </a:t>
          </a:r>
          <a:r>
            <a:rPr lang="en-US" sz="1100"/>
            <a:t>in relation to the total number of women and men in the company, </a:t>
          </a:r>
          <a:r>
            <a:rPr lang="en-US" sz="1100" b="1" u="sng"/>
            <a:t>there is almost no difference in dismissals between the sexes</a:t>
          </a:r>
          <a:r>
            <a:rPr lang="en-US" sz="1100"/>
            <a:t>.</a:t>
          </a:r>
          <a:endParaRPr lang="uk-UA"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590550</xdr:colOff>
      <xdr:row>2</xdr:row>
      <xdr:rowOff>3175</xdr:rowOff>
    </xdr:from>
    <xdr:to>
      <xdr:col>10</xdr:col>
      <xdr:colOff>285750</xdr:colOff>
      <xdr:row>16</xdr:row>
      <xdr:rowOff>168275</xdr:rowOff>
    </xdr:to>
    <xdr:graphicFrame macro="">
      <xdr:nvGraphicFramePr>
        <xdr:cNvPr id="2" name="Діаграма 1">
          <a:extLst>
            <a:ext uri="{FF2B5EF4-FFF2-40B4-BE49-F238E27FC236}">
              <a16:creationId xmlns:a16="http://schemas.microsoft.com/office/drawing/2014/main" id="{72B08445-2B5B-3EAD-ACD5-463887C99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18</xdr:col>
      <xdr:colOff>596900</xdr:colOff>
      <xdr:row>17</xdr:row>
      <xdr:rowOff>6350</xdr:rowOff>
    </xdr:to>
    <xdr:sp macro="" textlink="">
      <xdr:nvSpPr>
        <xdr:cNvPr id="3" name="TextBox 2">
          <a:extLst>
            <a:ext uri="{FF2B5EF4-FFF2-40B4-BE49-F238E27FC236}">
              <a16:creationId xmlns:a16="http://schemas.microsoft.com/office/drawing/2014/main" id="{27516639-ED0C-9B95-3C9B-F6C73B26139D}"/>
            </a:ext>
          </a:extLst>
        </xdr:cNvPr>
        <xdr:cNvSpPr txBox="1"/>
      </xdr:nvSpPr>
      <xdr:spPr>
        <a:xfrm>
          <a:off x="8185150" y="419100"/>
          <a:ext cx="4864100" cy="276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t>Insights</a:t>
          </a:r>
          <a:r>
            <a:rPr lang="en-US" sz="1100"/>
            <a:t>: </a:t>
          </a:r>
        </a:p>
        <a:p>
          <a:r>
            <a:rPr lang="en-US" sz="1100"/>
            <a:t>Active employees have longer experience (11.8 years), which is significantly higher than the total average (8.9 years). </a:t>
          </a:r>
          <a:r>
            <a:rPr lang="en-US" sz="1100" u="sng"/>
            <a:t>This suggests that the company has a core of experienced employees and those, who stay with the company, work for a long time.</a:t>
          </a:r>
        </a:p>
        <a:p>
          <a:endParaRPr lang="en-US" sz="1100"/>
        </a:p>
        <a:p>
          <a:r>
            <a:rPr lang="en-US" sz="1100"/>
            <a:t>Dismissed employees (both voluntarily and for cause) have a relatively lower experience - 3.1</a:t>
          </a:r>
          <a:r>
            <a:rPr lang="en-US" sz="1100" baseline="0"/>
            <a:t> </a:t>
          </a:r>
          <a:r>
            <a:rPr lang="en-US" sz="1100"/>
            <a:t>years. </a:t>
          </a:r>
          <a:r>
            <a:rPr lang="en-US" sz="1100" u="sng"/>
            <a:t>This may indicate a high level of turnover among new employees</a:t>
          </a:r>
          <a:r>
            <a:rPr lang="en-US" sz="1100"/>
            <a:t>.The reason for dismissal (forced or voluntary) does not greatly affect the experience - in both cases the experience is the same.The total average of the</a:t>
          </a:r>
          <a:r>
            <a:rPr lang="en-US" sz="1100" baseline="0"/>
            <a:t> </a:t>
          </a:r>
          <a:r>
            <a:rPr lang="en-US" sz="1100"/>
            <a:t>employees </a:t>
          </a:r>
          <a:r>
            <a:rPr lang="en-US" sz="1100">
              <a:solidFill>
                <a:schemeClr val="dk1"/>
              </a:solidFill>
              <a:effectLst/>
              <a:latin typeface="+mn-lt"/>
              <a:ea typeface="+mn-ea"/>
              <a:cs typeface="+mn-cs"/>
            </a:rPr>
            <a:t>working</a:t>
          </a:r>
          <a:r>
            <a:rPr lang="en-US" sz="1100" baseline="0">
              <a:solidFill>
                <a:schemeClr val="dk1"/>
              </a:solidFill>
              <a:effectLst/>
              <a:latin typeface="+mn-lt"/>
              <a:ea typeface="+mn-ea"/>
              <a:cs typeface="+mn-cs"/>
            </a:rPr>
            <a:t> experience</a:t>
          </a:r>
          <a:r>
            <a:rPr lang="en-US" sz="1100">
              <a:solidFill>
                <a:schemeClr val="dk1"/>
              </a:solidFill>
              <a:effectLst/>
              <a:latin typeface="+mn-lt"/>
              <a:ea typeface="+mn-ea"/>
              <a:cs typeface="+mn-cs"/>
            </a:rPr>
            <a:t> </a:t>
          </a:r>
          <a:r>
            <a:rPr lang="en-US" sz="1100"/>
            <a:t>(8.9 years) is formed due to the long experience of active employees and the low </a:t>
          </a:r>
          <a:r>
            <a:rPr lang="en-US" sz="1100">
              <a:solidFill>
                <a:schemeClr val="dk1"/>
              </a:solidFill>
              <a:effectLst/>
              <a:latin typeface="+mn-lt"/>
              <a:ea typeface="+mn-ea"/>
              <a:cs typeface="+mn-cs"/>
            </a:rPr>
            <a:t>experience</a:t>
          </a:r>
          <a:r>
            <a:rPr lang="en-US" sz="1100"/>
            <a:t> of new employees.</a:t>
          </a:r>
        </a:p>
        <a:p>
          <a:endParaRPr lang="en-US" sz="1100"/>
        </a:p>
        <a:p>
          <a:r>
            <a:rPr lang="en-US" sz="1100" b="1"/>
            <a:t>Thus,</a:t>
          </a:r>
          <a:r>
            <a:rPr lang="en-US" sz="1100" b="1" baseline="0"/>
            <a:t> </a:t>
          </a:r>
          <a:r>
            <a:rPr lang="en-US" sz="1100" b="1"/>
            <a:t>the company retains long-term employees very well, but there is a problem with maintaining newcomers. Perhaps it is worth reviewing the system of adaptation, conditions or motivation in the first years of work to reduce early dismissals.</a:t>
          </a:r>
          <a:endParaRPr lang="uk-UA"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546100</xdr:colOff>
      <xdr:row>2</xdr:row>
      <xdr:rowOff>6349</xdr:rowOff>
    </xdr:from>
    <xdr:to>
      <xdr:col>10</xdr:col>
      <xdr:colOff>130900</xdr:colOff>
      <xdr:row>15</xdr:row>
      <xdr:rowOff>0</xdr:rowOff>
    </xdr:to>
    <xdr:graphicFrame macro="">
      <xdr:nvGraphicFramePr>
        <xdr:cNvPr id="2" name="Діаграма 1">
          <a:extLst>
            <a:ext uri="{FF2B5EF4-FFF2-40B4-BE49-F238E27FC236}">
              <a16:creationId xmlns:a16="http://schemas.microsoft.com/office/drawing/2014/main" id="{CD04EB14-B0FE-E1CC-2C49-8B49034F6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603250</xdr:colOff>
      <xdr:row>2</xdr:row>
      <xdr:rowOff>6350</xdr:rowOff>
    </xdr:from>
    <xdr:to>
      <xdr:col>16</xdr:col>
      <xdr:colOff>12700</xdr:colOff>
      <xdr:row>15</xdr:row>
      <xdr:rowOff>19050</xdr:rowOff>
    </xdr:to>
    <xdr:sp macro="" textlink="">
      <xdr:nvSpPr>
        <xdr:cNvPr id="3" name="TextBox 2">
          <a:extLst>
            <a:ext uri="{FF2B5EF4-FFF2-40B4-BE49-F238E27FC236}">
              <a16:creationId xmlns:a16="http://schemas.microsoft.com/office/drawing/2014/main" id="{7793C813-02A0-3E34-1F18-313634684457}"/>
            </a:ext>
          </a:extLst>
        </xdr:cNvPr>
        <xdr:cNvSpPr txBox="1"/>
      </xdr:nvSpPr>
      <xdr:spPr>
        <a:xfrm>
          <a:off x="8318500" y="425450"/>
          <a:ext cx="3067050" cy="2406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t>Conclusions</a:t>
          </a:r>
          <a:r>
            <a:rPr lang="en-US" sz="1100"/>
            <a:t>: </a:t>
          </a:r>
        </a:p>
        <a:p>
          <a:endParaRPr lang="en-US" sz="1100"/>
        </a:p>
        <a:p>
          <a:r>
            <a:rPr lang="en-US" sz="1100" b="1" u="sng"/>
            <a:t>The salary gap between women and men exists, but it is quite small. </a:t>
          </a:r>
        </a:p>
        <a:p>
          <a:r>
            <a:rPr lang="en-US" sz="1100"/>
            <a:t>The average salary for men is 2,842 higher (4.02%).</a:t>
          </a:r>
        </a:p>
        <a:p>
          <a:r>
            <a:rPr lang="en-US" sz="1100"/>
            <a:t>The median salary for men is 1,286 higher (2.02%).</a:t>
          </a:r>
        </a:p>
        <a:p>
          <a:r>
            <a:rPr lang="en-US" sz="1100"/>
            <a:t>The median is lower than the average for both groups. This means that </a:t>
          </a:r>
          <a:r>
            <a:rPr lang="en-US" sz="1100" b="1" u="sng"/>
            <a:t>among both women and men, there are a few people with significantly higher salaries </a:t>
          </a:r>
          <a:r>
            <a:rPr lang="en-US" sz="1100"/>
            <a:t>who "pull" the average up.</a:t>
          </a:r>
          <a:endParaRPr lang="uk-UA"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415925</xdr:colOff>
      <xdr:row>1</xdr:row>
      <xdr:rowOff>155574</xdr:rowOff>
    </xdr:from>
    <xdr:to>
      <xdr:col>11</xdr:col>
      <xdr:colOff>111125</xdr:colOff>
      <xdr:row>16</xdr:row>
      <xdr:rowOff>171449</xdr:rowOff>
    </xdr:to>
    <xdr:graphicFrame macro="">
      <xdr:nvGraphicFramePr>
        <xdr:cNvPr id="3" name="Діаграма 2">
          <a:extLst>
            <a:ext uri="{FF2B5EF4-FFF2-40B4-BE49-F238E27FC236}">
              <a16:creationId xmlns:a16="http://schemas.microsoft.com/office/drawing/2014/main" id="{ACE1BD3D-8539-7A3A-69CD-82F7FF2CF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412750</xdr:colOff>
      <xdr:row>1</xdr:row>
      <xdr:rowOff>177800</xdr:rowOff>
    </xdr:from>
    <xdr:to>
      <xdr:col>18</xdr:col>
      <xdr:colOff>457200</xdr:colOff>
      <xdr:row>28</xdr:row>
      <xdr:rowOff>25400</xdr:rowOff>
    </xdr:to>
    <xdr:sp macro="" textlink="">
      <xdr:nvSpPr>
        <xdr:cNvPr id="4" name="TextBox 3">
          <a:extLst>
            <a:ext uri="{FF2B5EF4-FFF2-40B4-BE49-F238E27FC236}">
              <a16:creationId xmlns:a16="http://schemas.microsoft.com/office/drawing/2014/main" id="{ED7F8CDC-FFC9-A914-B0F8-B04650E91116}"/>
            </a:ext>
          </a:extLst>
        </xdr:cNvPr>
        <xdr:cNvSpPr txBox="1"/>
      </xdr:nvSpPr>
      <xdr:spPr>
        <a:xfrm>
          <a:off x="8851900" y="412750"/>
          <a:ext cx="4311650" cy="4819650"/>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t>Conclusions from the table</a:t>
          </a:r>
          <a:endParaRPr lang="uk-UA" sz="1100" b="1"/>
        </a:p>
        <a:p>
          <a:endParaRPr lang="uk-UA" sz="1100"/>
        </a:p>
        <a:p>
          <a:r>
            <a:rPr lang="en-US" sz="1100" b="1" u="sng"/>
            <a:t>The highest salary by a large margin from other departments is in the Executive Office (250 K)</a:t>
          </a:r>
          <a:r>
            <a:rPr lang="en-US" sz="1100" b="1" u="sng" baseline="0"/>
            <a:t> but it consists only of 1 person.</a:t>
          </a:r>
        </a:p>
        <a:p>
          <a:endParaRPr lang="en-US" sz="1100" b="1" u="sng"/>
        </a:p>
        <a:p>
          <a:r>
            <a:rPr lang="en-US" sz="1100" b="1" u="sng"/>
            <a:t>IT/IS and Software Engineering </a:t>
          </a:r>
          <a:r>
            <a:rPr lang="en-US" sz="1100"/>
            <a:t>have high average salaries (97-95 K). We can say that technical roles are one of the highest-paid areas in the company.</a:t>
          </a:r>
        </a:p>
        <a:p>
          <a:endParaRPr lang="en-US" sz="1100"/>
        </a:p>
        <a:p>
          <a:r>
            <a:rPr lang="en-US" sz="1100" b="1" u="sng"/>
            <a:t>Admin Offices and Sales </a:t>
          </a:r>
          <a:r>
            <a:rPr lang="en-US" sz="1100"/>
            <a:t>earn salaries close to average (72-69 K). Thus, the sales department is at the average salary level in the company.This could mean: either a low base salary and bonuses, or that bonuses are included in salary</a:t>
          </a:r>
          <a:r>
            <a:rPr lang="en-US" sz="1100" baseline="0"/>
            <a:t> and </a:t>
          </a:r>
          <a:r>
            <a:rPr lang="en-US" sz="1100"/>
            <a:t>the pay structure is more steady.</a:t>
          </a:r>
        </a:p>
        <a:p>
          <a:endParaRPr lang="en-US" sz="1100"/>
        </a:p>
        <a:p>
          <a:r>
            <a:rPr lang="en-US" sz="1100" b="1" u="sng"/>
            <a:t>The lowest average salaries are in the Production department - 60 K. </a:t>
          </a:r>
          <a:r>
            <a:rPr lang="en-US" sz="1100" b="0" u="none"/>
            <a:t>Production makes up the majority of the company: 209  of 311 employees (67%).</a:t>
          </a:r>
        </a:p>
        <a:p>
          <a:endParaRPr lang="en-US" sz="1100"/>
        </a:p>
        <a:p>
          <a:r>
            <a:rPr lang="en-US" sz="1100"/>
            <a:t>The total average salary for all departments is 69 K.</a:t>
          </a:r>
          <a:br>
            <a:rPr lang="en-US" sz="1100"/>
          </a:br>
          <a:br>
            <a:rPr lang="en-US" sz="1100"/>
          </a:br>
          <a:r>
            <a:rPr lang="en-US" sz="1100" b="1"/>
            <a:t>3 main business conclusions:</a:t>
          </a:r>
        </a:p>
        <a:p>
          <a:r>
            <a:rPr lang="en-US" sz="1100"/>
            <a:t>1.</a:t>
          </a:r>
          <a:r>
            <a:rPr lang="en-US" sz="1100" baseline="0"/>
            <a:t> The </a:t>
          </a:r>
          <a:r>
            <a:rPr lang="en-US" sz="1100"/>
            <a:t>company has a classic structure: high salaries in IT areas, low salaries in production, which makes up the majority of employees.</a:t>
          </a:r>
        </a:p>
        <a:p>
          <a:r>
            <a:rPr lang="en-US" sz="1100"/>
            <a:t>2. The Executive Office cannot be analyzed through one person - this is an exception.</a:t>
          </a:r>
        </a:p>
        <a:p>
          <a:r>
            <a:rPr lang="en-US" sz="1100"/>
            <a:t>3. The total average salary of the company is underestimated by a large number of employees from Production.</a:t>
          </a:r>
          <a:endParaRPr lang="uk-UA"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542925</xdr:colOff>
      <xdr:row>2</xdr:row>
      <xdr:rowOff>9525</xdr:rowOff>
    </xdr:from>
    <xdr:to>
      <xdr:col>10</xdr:col>
      <xdr:colOff>3175</xdr:colOff>
      <xdr:row>16</xdr:row>
      <xdr:rowOff>174625</xdr:rowOff>
    </xdr:to>
    <xdr:graphicFrame macro="">
      <xdr:nvGraphicFramePr>
        <xdr:cNvPr id="2" name="Діаграма 1">
          <a:extLst>
            <a:ext uri="{FF2B5EF4-FFF2-40B4-BE49-F238E27FC236}">
              <a16:creationId xmlns:a16="http://schemas.microsoft.com/office/drawing/2014/main" id="{AA5CDC43-7799-2544-5479-5AA0879A4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6350</xdr:colOff>
      <xdr:row>1</xdr:row>
      <xdr:rowOff>177800</xdr:rowOff>
    </xdr:from>
    <xdr:to>
      <xdr:col>15</xdr:col>
      <xdr:colOff>0</xdr:colOff>
      <xdr:row>14</xdr:row>
      <xdr:rowOff>50800</xdr:rowOff>
    </xdr:to>
    <xdr:sp macro="" textlink="">
      <xdr:nvSpPr>
        <xdr:cNvPr id="3" name="TextBox 2">
          <a:extLst>
            <a:ext uri="{FF2B5EF4-FFF2-40B4-BE49-F238E27FC236}">
              <a16:creationId xmlns:a16="http://schemas.microsoft.com/office/drawing/2014/main" id="{6E468899-F9F6-76B0-2370-9CACF02DD5FA}"/>
            </a:ext>
          </a:extLst>
        </xdr:cNvPr>
        <xdr:cNvSpPr txBox="1"/>
      </xdr:nvSpPr>
      <xdr:spPr>
        <a:xfrm>
          <a:off x="8083550" y="412750"/>
          <a:ext cx="2432050" cy="2266950"/>
        </a:xfrm>
        <a:prstGeom prst="rect">
          <a:avLst/>
        </a:prstGeom>
        <a:solidFill>
          <a:schemeClr val="bg2"/>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t>Conclusions</a:t>
          </a:r>
        </a:p>
        <a:p>
          <a:endParaRPr lang="en-US" sz="1100"/>
        </a:p>
        <a:p>
          <a:r>
            <a:rPr lang="en-US" sz="1100" b="1" u="sng"/>
            <a:t>There is no significant gradual increase or decrease in salary with age.</a:t>
          </a:r>
        </a:p>
        <a:p>
          <a:endParaRPr lang="en-US" sz="1100" b="1" u="sng"/>
        </a:p>
        <a:p>
          <a:r>
            <a:rPr lang="en-US" sz="1100"/>
            <a:t>There is a sharp jump at the age of 71, which suggests that there is one employee in the company at this age with a very high salary</a:t>
          </a:r>
          <a:r>
            <a:rPr lang="ru-RU" sz="1100"/>
            <a:t> (</a:t>
          </a:r>
          <a:r>
            <a:rPr lang="en-US" sz="1100"/>
            <a:t>Executive Office).If we ignore this anomaly, then in general we can say that in this company the salary does not depend on age.</a:t>
          </a:r>
          <a:endParaRPr lang="uk-UA"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561975</xdr:colOff>
      <xdr:row>2</xdr:row>
      <xdr:rowOff>9525</xdr:rowOff>
    </xdr:from>
    <xdr:to>
      <xdr:col>9</xdr:col>
      <xdr:colOff>104775</xdr:colOff>
      <xdr:row>16</xdr:row>
      <xdr:rowOff>174625</xdr:rowOff>
    </xdr:to>
    <xdr:graphicFrame macro="">
      <xdr:nvGraphicFramePr>
        <xdr:cNvPr id="2" name="Діаграма 1">
          <a:extLst>
            <a:ext uri="{FF2B5EF4-FFF2-40B4-BE49-F238E27FC236}">
              <a16:creationId xmlns:a16="http://schemas.microsoft.com/office/drawing/2014/main" id="{218404C7-283F-9C6F-52A9-96ED68659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76200</xdr:rowOff>
    </xdr:from>
    <xdr:to>
      <xdr:col>14</xdr:col>
      <xdr:colOff>596900</xdr:colOff>
      <xdr:row>17</xdr:row>
      <xdr:rowOff>31750</xdr:rowOff>
    </xdr:to>
    <xdr:sp macro="" textlink="">
      <xdr:nvSpPr>
        <xdr:cNvPr id="3" name="TextBox 2">
          <a:extLst>
            <a:ext uri="{FF2B5EF4-FFF2-40B4-BE49-F238E27FC236}">
              <a16:creationId xmlns:a16="http://schemas.microsoft.com/office/drawing/2014/main" id="{EBC87E7E-255F-EBD3-2F15-FC6BB596BB1E}"/>
            </a:ext>
          </a:extLst>
        </xdr:cNvPr>
        <xdr:cNvSpPr txBox="1"/>
      </xdr:nvSpPr>
      <xdr:spPr>
        <a:xfrm>
          <a:off x="7994650" y="495300"/>
          <a:ext cx="3035300" cy="2717800"/>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1"/>
            <a:t>Conclusions</a:t>
          </a:r>
        </a:p>
        <a:p>
          <a:endParaRPr lang="en-US" sz="1100"/>
        </a:p>
        <a:p>
          <a:r>
            <a:rPr lang="en-US" sz="1100" b="0" u="none"/>
            <a:t>Salaries do not increase gradually with additional years</a:t>
          </a:r>
          <a:r>
            <a:rPr lang="en-US" sz="1100" b="0" u="none" baseline="0"/>
            <a:t> of experience</a:t>
          </a:r>
          <a:r>
            <a:rPr lang="en-US" sz="1100" b="0" u="none"/>
            <a:t>. </a:t>
          </a:r>
          <a:r>
            <a:rPr lang="en-US" sz="1100"/>
            <a:t>Regardless of experience, the average salary for most employees fluctuates within 60-80 K. </a:t>
          </a:r>
        </a:p>
        <a:p>
          <a:endParaRPr lang="en-US" sz="1100"/>
        </a:p>
        <a:p>
          <a:r>
            <a:rPr lang="en-US"/>
            <a:t>This indicates that in this company, </a:t>
          </a:r>
          <a:r>
            <a:rPr lang="en-US" b="1" u="sng"/>
            <a:t>salary levels are relatively standardized, and additional experience does not guarantee higher income. </a:t>
          </a:r>
          <a:r>
            <a:rPr lang="en-US"/>
            <a:t>Moreover, based on insights from previous pivot tables, we can conclude that </a:t>
          </a:r>
          <a:r>
            <a:rPr lang="en-US" b="1" u="sng"/>
            <a:t>salaries depend primarily on the department rather than on gender, age, or experience.</a:t>
          </a:r>
          <a:endParaRPr lang="uk-UA" sz="1100" b="1" u="sng"/>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127000</xdr:colOff>
      <xdr:row>5</xdr:row>
      <xdr:rowOff>120650</xdr:rowOff>
    </xdr:from>
    <xdr:to>
      <xdr:col>10</xdr:col>
      <xdr:colOff>419100</xdr:colOff>
      <xdr:row>20</xdr:row>
      <xdr:rowOff>88900</xdr:rowOff>
    </xdr:to>
    <xdr:graphicFrame macro="">
      <xdr:nvGraphicFramePr>
        <xdr:cNvPr id="2" name="Діаграма 1">
          <a:extLst>
            <a:ext uri="{FF2B5EF4-FFF2-40B4-BE49-F238E27FC236}">
              <a16:creationId xmlns:a16="http://schemas.microsoft.com/office/drawing/2014/main" id="{851CA4A1-5656-4ABE-9A65-708244754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120650</xdr:colOff>
      <xdr:row>20</xdr:row>
      <xdr:rowOff>196850</xdr:rowOff>
    </xdr:from>
    <xdr:to>
      <xdr:col>10</xdr:col>
      <xdr:colOff>387350</xdr:colOff>
      <xdr:row>29</xdr:row>
      <xdr:rowOff>133349</xdr:rowOff>
    </xdr:to>
    <xdr:graphicFrame macro="">
      <xdr:nvGraphicFramePr>
        <xdr:cNvPr id="3" name="Діаграма 2">
          <a:extLst>
            <a:ext uri="{FF2B5EF4-FFF2-40B4-BE49-F238E27FC236}">
              <a16:creationId xmlns:a16="http://schemas.microsoft.com/office/drawing/2014/main" id="{15A504F2-0E3C-4E9A-8FE9-DFB4FDE30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25400</xdr:colOff>
      <xdr:row>15</xdr:row>
      <xdr:rowOff>152400</xdr:rowOff>
    </xdr:from>
    <xdr:to>
      <xdr:col>18</xdr:col>
      <xdr:colOff>266700</xdr:colOff>
      <xdr:row>27</xdr:row>
      <xdr:rowOff>76200</xdr:rowOff>
    </xdr:to>
    <xdr:graphicFrame macro="">
      <xdr:nvGraphicFramePr>
        <xdr:cNvPr id="4" name="Діаграма 3">
          <a:extLst>
            <a:ext uri="{FF2B5EF4-FFF2-40B4-BE49-F238E27FC236}">
              <a16:creationId xmlns:a16="http://schemas.microsoft.com/office/drawing/2014/main" id="{3F07461C-C7B5-4F42-97CF-B70D0868F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5</xdr:row>
      <xdr:rowOff>107950</xdr:rowOff>
    </xdr:from>
    <xdr:to>
      <xdr:col>18</xdr:col>
      <xdr:colOff>241300</xdr:colOff>
      <xdr:row>15</xdr:row>
      <xdr:rowOff>38101</xdr:rowOff>
    </xdr:to>
    <xdr:graphicFrame macro="">
      <xdr:nvGraphicFramePr>
        <xdr:cNvPr id="5" name="Діаграма 4">
          <a:extLst>
            <a:ext uri="{FF2B5EF4-FFF2-40B4-BE49-F238E27FC236}">
              <a16:creationId xmlns:a16="http://schemas.microsoft.com/office/drawing/2014/main" id="{FCE78C0F-E3DB-4F27-8169-266B6A3E7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12700</xdr:colOff>
      <xdr:row>28</xdr:row>
      <xdr:rowOff>19050</xdr:rowOff>
    </xdr:from>
    <xdr:to>
      <xdr:col>18</xdr:col>
      <xdr:colOff>317500</xdr:colOff>
      <xdr:row>39</xdr:row>
      <xdr:rowOff>212725</xdr:rowOff>
    </xdr:to>
    <xdr:graphicFrame macro="">
      <xdr:nvGraphicFramePr>
        <xdr:cNvPr id="6" name="Діаграма 5">
          <a:extLst>
            <a:ext uri="{FF2B5EF4-FFF2-40B4-BE49-F238E27FC236}">
              <a16:creationId xmlns:a16="http://schemas.microsoft.com/office/drawing/2014/main" id="{4FE51409-CCCA-4BFF-BCBC-CB65D5774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133350</xdr:colOff>
      <xdr:row>29</xdr:row>
      <xdr:rowOff>209550</xdr:rowOff>
    </xdr:from>
    <xdr:to>
      <xdr:col>10</xdr:col>
      <xdr:colOff>387350</xdr:colOff>
      <xdr:row>39</xdr:row>
      <xdr:rowOff>190500</xdr:rowOff>
    </xdr:to>
    <xdr:graphicFrame macro="">
      <xdr:nvGraphicFramePr>
        <xdr:cNvPr id="7" name="Діаграма 6">
          <a:extLst>
            <a:ext uri="{FF2B5EF4-FFF2-40B4-BE49-F238E27FC236}">
              <a16:creationId xmlns:a16="http://schemas.microsoft.com/office/drawing/2014/main" id="{251D7868-D5FE-46FD-8724-9586BC0F2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127000</xdr:colOff>
      <xdr:row>40</xdr:row>
      <xdr:rowOff>133350</xdr:rowOff>
    </xdr:from>
    <xdr:to>
      <xdr:col>10</xdr:col>
      <xdr:colOff>381000</xdr:colOff>
      <xdr:row>49</xdr:row>
      <xdr:rowOff>222250</xdr:rowOff>
    </xdr:to>
    <xdr:graphicFrame macro="">
      <xdr:nvGraphicFramePr>
        <xdr:cNvPr id="8" name="Діаграма 7">
          <a:extLst>
            <a:ext uri="{FF2B5EF4-FFF2-40B4-BE49-F238E27FC236}">
              <a16:creationId xmlns:a16="http://schemas.microsoft.com/office/drawing/2014/main" id="{CBFFD731-E16A-4A62-9374-69B5D735F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44450</xdr:colOff>
      <xdr:row>40</xdr:row>
      <xdr:rowOff>152400</xdr:rowOff>
    </xdr:from>
    <xdr:to>
      <xdr:col>18</xdr:col>
      <xdr:colOff>323850</xdr:colOff>
      <xdr:row>45</xdr:row>
      <xdr:rowOff>120650</xdr:rowOff>
    </xdr:to>
    <xdr:sp macro="" textlink="">
      <xdr:nvSpPr>
        <xdr:cNvPr id="9" name="TextBox 8">
          <a:extLst>
            <a:ext uri="{FF2B5EF4-FFF2-40B4-BE49-F238E27FC236}">
              <a16:creationId xmlns:a16="http://schemas.microsoft.com/office/drawing/2014/main" id="{A0CF0D3C-BA70-C8DD-AFF0-7B83D0F6E622}"/>
            </a:ext>
          </a:extLst>
        </xdr:cNvPr>
        <xdr:cNvSpPr txBox="1"/>
      </xdr:nvSpPr>
      <xdr:spPr>
        <a:xfrm>
          <a:off x="6356350" y="9817100"/>
          <a:ext cx="4546600" cy="1143000"/>
        </a:xfrm>
        <a:prstGeom prst="rect">
          <a:avLst/>
        </a:prstGeom>
        <a:solidFill>
          <a:schemeClr val="lt1"/>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Insights</a:t>
          </a:r>
          <a:r>
            <a:rPr lang="uk-UA" b="1"/>
            <a:t>:</a:t>
          </a:r>
          <a:endParaRPr lang="uk-UA"/>
        </a:p>
        <a:p>
          <a:r>
            <a:rPr lang="en-US" i="1"/>
            <a:t>Production employs the majority of staff and drives the overall average salary down.</a:t>
          </a:r>
          <a:endParaRPr lang="en-US"/>
        </a:p>
        <a:p>
          <a:r>
            <a:rPr lang="en-US" i="1"/>
            <a:t>Technical departments (IT, Software Engineering) have significantly higher average salaries.</a:t>
          </a:r>
          <a:endParaRPr lang="en-US"/>
        </a:p>
        <a:p>
          <a:r>
            <a:rPr lang="en-US" i="1"/>
            <a:t>Salary differences are driven by department, not by gender or age.</a:t>
          </a:r>
          <a:endParaRPr lang="en-US"/>
        </a:p>
        <a:p>
          <a:endParaRPr lang="uk-UA" sz="1100"/>
        </a:p>
      </xdr:txBody>
    </xdr:sp>
    <xdr:clientData/>
  </xdr:twoCellAnchor>
  <xdr:twoCellAnchor editAs="oneCell">
    <xdr:from>
      <xdr:col>0</xdr:col>
      <xdr:colOff>190500</xdr:colOff>
      <xdr:row>4</xdr:row>
      <xdr:rowOff>76200</xdr:rowOff>
    </xdr:from>
    <xdr:to>
      <xdr:col>7</xdr:col>
      <xdr:colOff>412750</xdr:colOff>
      <xdr:row>4</xdr:row>
      <xdr:rowOff>1041400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A3E69A09-ED4A-8390-2620-27F34167D65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0500" y="1282700"/>
              <a:ext cx="4095750" cy="965200"/>
            </a:xfrm>
            <a:prstGeom prst="rect">
              <a:avLst/>
            </a:prstGeom>
            <a:solidFill>
              <a:prstClr val="white"/>
            </a:solidFill>
            <a:ln w="1">
              <a:solidFill>
                <a:prstClr val="green"/>
              </a:solidFill>
            </a:ln>
          </xdr:spPr>
          <xdr:txBody>
            <a:bodyPr vertOverflow="clip" horzOverflow="clip"/>
            <a:lstStyle/>
            <a:p>
              <a:r>
                <a:rPr lang="uk-UA" sz="1100"/>
                <a:t>Ця фігура – роздільник. Роздільники підтримуються в програмі Excel 2010 або новішій версії.
Якщо фігуру змінено в попередній версії програми Excel, або якщо книгу збережено в програмі Excel 2003 чи старішій версії, роздільники використовувати не можна.</a:t>
              </a:r>
            </a:p>
          </xdr:txBody>
        </xdr:sp>
      </mc:Fallback>
    </mc:AlternateContent>
    <xdr:clientData/>
  </xdr:twoCellAnchor>
  <xdr:twoCellAnchor editAs="oneCell">
    <xdr:from>
      <xdr:col>8</xdr:col>
      <xdr:colOff>0</xdr:colOff>
      <xdr:row>4</xdr:row>
      <xdr:rowOff>82550</xdr:rowOff>
    </xdr:from>
    <xdr:to>
      <xdr:col>11</xdr:col>
      <xdr:colOff>0</xdr:colOff>
      <xdr:row>4</xdr:row>
      <xdr:rowOff>1047750</xdr:rowOff>
    </xdr:to>
    <mc:AlternateContent xmlns:mc="http://schemas.openxmlformats.org/markup-compatibility/2006" xmlns:a14="http://schemas.microsoft.com/office/drawing/2010/main">
      <mc:Choice Requires="a14">
        <xdr:graphicFrame macro="">
          <xdr:nvGraphicFramePr>
            <xdr:cNvPr id="11" name="Sex">
              <a:extLst>
                <a:ext uri="{FF2B5EF4-FFF2-40B4-BE49-F238E27FC236}">
                  <a16:creationId xmlns:a16="http://schemas.microsoft.com/office/drawing/2014/main" id="{011685AD-4506-C062-4179-8D80E8473156}"/>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4483100" y="1289050"/>
              <a:ext cx="1828800" cy="965200"/>
            </a:xfrm>
            <a:prstGeom prst="rect">
              <a:avLst/>
            </a:prstGeom>
            <a:solidFill>
              <a:prstClr val="white"/>
            </a:solidFill>
            <a:ln w="1">
              <a:solidFill>
                <a:prstClr val="green"/>
              </a:solidFill>
            </a:ln>
          </xdr:spPr>
          <xdr:txBody>
            <a:bodyPr vertOverflow="clip" horzOverflow="clip"/>
            <a:lstStyle/>
            <a:p>
              <a:r>
                <a:rPr lang="uk-UA" sz="1100"/>
                <a:t>Ця фігура – роздільник. Роздільники підтримуються в програмі Excel 2010 або новішій версії.
Якщо фігуру змінено в попередній версії програми Excel, або якщо книгу збережено в програмі Excel 2003 чи старішій версії, роздільники використовувати не можна.</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6350</xdr:rowOff>
    </xdr:from>
    <xdr:to>
      <xdr:col>12</xdr:col>
      <xdr:colOff>12700</xdr:colOff>
      <xdr:row>12</xdr:row>
      <xdr:rowOff>31750</xdr:rowOff>
    </xdr:to>
    <xdr:sp macro="" textlink="">
      <xdr:nvSpPr>
        <xdr:cNvPr id="2" name="TextBox 1">
          <a:extLst>
            <a:ext uri="{FF2B5EF4-FFF2-40B4-BE49-F238E27FC236}">
              <a16:creationId xmlns:a16="http://schemas.microsoft.com/office/drawing/2014/main" id="{6164D815-7F3F-6355-6EAB-3A4A6F089CDE}"/>
            </a:ext>
          </a:extLst>
        </xdr:cNvPr>
        <xdr:cNvSpPr txBox="1"/>
      </xdr:nvSpPr>
      <xdr:spPr>
        <a:xfrm>
          <a:off x="0" y="692150"/>
          <a:ext cx="7327900" cy="168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rtl="0"/>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Employee turnover is concentrated primarily among newcomers with low experience, while experienced employees form a stable core of the company.</a:t>
          </a:r>
        </a:p>
        <a:p>
          <a:pPr lvl="0" rtl="0"/>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Salary levels do not significantly depend on gender, age, or years of experience.</a:t>
          </a:r>
          <a:endParaRPr lang="uk-UA">
            <a:latin typeface="Times New Roman" panose="02020603050405020304" pitchFamily="18" charset="0"/>
            <a:cs typeface="Times New Roman" panose="02020603050405020304" pitchFamily="18" charset="0"/>
          </a:endParaRPr>
        </a:p>
        <a:p>
          <a:pPr lvl="0" rtl="0"/>
          <a:r>
            <a:rPr lang="uk-UA">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Average salaries remain within a relatively narrow range.</a:t>
          </a:r>
        </a:p>
        <a:p>
          <a:pPr lvl="0" rtl="0"/>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Department plays a much stronger role in salary differentiation than individual demographic factors.</a:t>
          </a:r>
        </a:p>
        <a:p>
          <a:pPr lvl="0" rtl="0"/>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Production and Sales departments show the highest levels of employee turnover.</a:t>
          </a:r>
        </a:p>
        <a:p>
          <a:pPr lvl="0" rtl="0"/>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Both men and women have a small number of high earners, which impacts average salary more than median salary.</a:t>
          </a:r>
        </a:p>
        <a:p>
          <a:pPr lvl="0" rtl="0"/>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Salary levels do not increase proportionally with experience, indicating flat salary progression across tenure levels.</a:t>
          </a:r>
        </a:p>
        <a:p>
          <a:pPr lvl="0" rtl="0"/>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Voluntary and involuntary terminations among new employees occur at similar experience levels.</a:t>
          </a:r>
        </a:p>
        <a:p>
          <a:endParaRPr lang="uk-UA" sz="1100"/>
        </a:p>
      </xdr:txBody>
    </xdr:sp>
    <xdr:clientData/>
  </xdr:twoCellAnchor>
  <xdr:twoCellAnchor>
    <xdr:from>
      <xdr:col>0</xdr:col>
      <xdr:colOff>0</xdr:colOff>
      <xdr:row>14</xdr:row>
      <xdr:rowOff>0</xdr:rowOff>
    </xdr:from>
    <xdr:to>
      <xdr:col>12</xdr:col>
      <xdr:colOff>0</xdr:colOff>
      <xdr:row>18</xdr:row>
      <xdr:rowOff>177800</xdr:rowOff>
    </xdr:to>
    <xdr:sp macro="" textlink="">
      <xdr:nvSpPr>
        <xdr:cNvPr id="3" name="TextBox 2">
          <a:extLst>
            <a:ext uri="{FF2B5EF4-FFF2-40B4-BE49-F238E27FC236}">
              <a16:creationId xmlns:a16="http://schemas.microsoft.com/office/drawing/2014/main" id="{480B91F8-1E49-6162-3855-DB3614720190}"/>
            </a:ext>
          </a:extLst>
        </xdr:cNvPr>
        <xdr:cNvSpPr txBox="1"/>
      </xdr:nvSpPr>
      <xdr:spPr>
        <a:xfrm>
          <a:off x="0" y="2762250"/>
          <a:ext cx="73152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The company demonstrates standardized compensation practices, where salary growth is primarily driven by departmental structure rather than personal characteristics or experience. High employee retention among experienced staff suggests effective long-term engagement strategies, while elevated turnover among newcomers may indicate onboarding or expectation alignment issues.</a:t>
          </a:r>
          <a:endParaRPr lang="uk-UA" sz="110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21</xdr:row>
      <xdr:rowOff>19050</xdr:rowOff>
    </xdr:from>
    <xdr:to>
      <xdr:col>12</xdr:col>
      <xdr:colOff>0</xdr:colOff>
      <xdr:row>26</xdr:row>
      <xdr:rowOff>177800</xdr:rowOff>
    </xdr:to>
    <xdr:sp macro="" textlink="">
      <xdr:nvSpPr>
        <xdr:cNvPr id="4" name="TextBox 3">
          <a:extLst>
            <a:ext uri="{FF2B5EF4-FFF2-40B4-BE49-F238E27FC236}">
              <a16:creationId xmlns:a16="http://schemas.microsoft.com/office/drawing/2014/main" id="{13CEA03B-D334-6830-A603-B54AB09C74E3}"/>
            </a:ext>
          </a:extLst>
        </xdr:cNvPr>
        <xdr:cNvSpPr txBox="1"/>
      </xdr:nvSpPr>
      <xdr:spPr>
        <a:xfrm>
          <a:off x="0" y="4121150"/>
          <a:ext cx="7315200"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uk-UA" sz="110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Improve onboarding processes for new employees.</a:t>
          </a:r>
        </a:p>
        <a:p>
          <a:r>
            <a:rPr lang="uk-UA" sz="1100">
              <a:latin typeface="Times New Roman" panose="02020603050405020304" pitchFamily="18" charset="0"/>
              <a:cs typeface="Times New Roman" panose="02020603050405020304" pitchFamily="18" charset="0"/>
            </a:rPr>
            <a:t>-</a:t>
          </a:r>
          <a:r>
            <a:rPr lang="uk-UA"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Focus retention efforts on the first </a:t>
          </a:r>
          <a:r>
            <a:rPr lang="uk-UA" sz="1100">
              <a:latin typeface="Times New Roman" panose="02020603050405020304" pitchFamily="18" charset="0"/>
              <a:cs typeface="Times New Roman" panose="02020603050405020304" pitchFamily="18" charset="0"/>
            </a:rPr>
            <a:t>6-24</a:t>
          </a:r>
          <a:r>
            <a:rPr lang="en-US" sz="1100">
              <a:latin typeface="Times New Roman" panose="02020603050405020304" pitchFamily="18" charset="0"/>
              <a:cs typeface="Times New Roman" panose="02020603050405020304" pitchFamily="18" charset="0"/>
            </a:rPr>
            <a:t> months of employment.</a:t>
          </a:r>
        </a:p>
        <a:p>
          <a:r>
            <a:rPr lang="uk-UA" sz="1100">
              <a:latin typeface="Times New Roman" panose="02020603050405020304" pitchFamily="18" charset="0"/>
              <a:cs typeface="Times New Roman" panose="02020603050405020304" pitchFamily="18" charset="0"/>
            </a:rPr>
            <a:t>-</a:t>
          </a:r>
          <a:r>
            <a:rPr lang="uk-UA"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Analyze turnover drivers at the department level.</a:t>
          </a:r>
        </a:p>
        <a:p>
          <a:r>
            <a:rPr lang="uk-UA" sz="1100">
              <a:latin typeface="Times New Roman" panose="02020603050405020304" pitchFamily="18" charset="0"/>
              <a:cs typeface="Times New Roman" panose="02020603050405020304" pitchFamily="18" charset="0"/>
            </a:rPr>
            <a:t>-</a:t>
          </a:r>
          <a:r>
            <a:rPr lang="uk-UA"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Consider reviewing career development and compensation progression frameworks to improve motivation and retention among early-career employees.</a:t>
          </a:r>
          <a:endParaRPr lang="uk-UA" sz="11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Cherednikova" refreshedDate="45990.73938564815" createdVersion="8" refreshedVersion="8" minRefreshableVersion="3" recordCount="311" xr:uid="{A5439D3C-647F-4302-97D2-BE1D4E5F1D95}">
  <cacheSource type="worksheet">
    <worksheetSource name="HRDataset_clean"/>
  </cacheSource>
  <cacheFields count="16">
    <cacheField name="Employee_Name" numFmtId="0">
      <sharedItems/>
    </cacheField>
    <cacheField name="EmpID" numFmtId="0">
      <sharedItems containsSemiMixedTypes="0" containsString="0" containsNumber="1" containsInteger="1" minValue="10001" maxValue="10311"/>
    </cacheField>
    <cacheField name="GenderID" numFmtId="0">
      <sharedItems containsSemiMixedTypes="0" containsString="0" containsNumber="1" containsInteger="1" minValue="0" maxValue="1"/>
    </cacheField>
    <cacheField name="Salary" numFmtId="2">
      <sharedItems containsSemiMixedTypes="0" containsString="0" containsNumber="1" containsInteger="1" minValue="45046" maxValue="250000"/>
    </cacheField>
    <cacheField name="Position" numFmtId="0">
      <sharedItems count="31">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CIO"/>
      </sharedItems>
    </cacheField>
    <cacheField name="DOB" numFmtId="14">
      <sharedItems containsSemiMixedTypes="0" containsNonDate="0" containsDate="1" containsString="0" minDate="1951-01-02T00:00:00" maxDate="1992-08-18T00:00:00"/>
    </cacheField>
    <cacheField name="Sex" numFmtId="0">
      <sharedItems count="2">
        <s v="M "/>
        <s v="F"/>
      </sharedItems>
    </cacheField>
    <cacheField name="CitizenDesc" numFmtId="0">
      <sharedItems/>
    </cacheField>
    <cacheField name="DateofHire" numFmtId="14">
      <sharedItems containsSemiMixedTypes="0" containsNonDate="0" containsDate="1" containsString="0"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acheField>
    <cacheField name="EmploymentStatus" numFmtId="0">
      <sharedItems count="3">
        <s v="Active"/>
        <s v="Voluntarily Terminated"/>
        <s v="Terminated for Cause"/>
      </sharedItems>
    </cacheField>
    <cacheField name="Department" numFmtId="0">
      <sharedItems count="6">
        <s v="Production"/>
        <s v="IT/IS"/>
        <s v="Software Engineering"/>
        <s v="Admin Offices"/>
        <s v="Sales"/>
        <s v="Executive Office"/>
      </sharedItems>
    </cacheField>
    <cacheField name="ManagerName" numFmtId="0">
      <sharedItems/>
    </cacheField>
    <cacheField name="Age" numFmtId="0">
      <sharedItems containsSemiMixedTypes="0" containsString="0" containsNumber="1" containsInteger="1" minValue="33" maxValue="74"/>
    </cacheField>
    <cacheField name="Experience" numFmtId="0">
      <sharedItems containsSemiMixedTypes="0" containsString="0" containsNumber="1" containsInteger="1" minValue="0" maxValue="19"/>
    </cacheField>
  </cacheFields>
  <extLst>
    <ext xmlns:x14="http://schemas.microsoft.com/office/spreadsheetml/2009/9/main" uri="{725AE2AE-9491-48be-B2B4-4EB974FC3084}">
      <x14:pivotCacheDefinition pivotCacheId="21042905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Cherednikova" refreshedDate="46002.710172916668" createdVersion="8" refreshedVersion="8" minRefreshableVersion="3" recordCount="313" xr:uid="{4D965500-BDD9-4DC3-B4B5-D7123D57EE07}">
  <cacheSource type="worksheet">
    <worksheetSource ref="A1:P1048576" sheet="HRDataset_clean"/>
  </cacheSource>
  <cacheFields count="16">
    <cacheField name="Employee_Name" numFmtId="0">
      <sharedItems containsBlank="1"/>
    </cacheField>
    <cacheField name="EmpID" numFmtId="0">
      <sharedItems containsString="0" containsBlank="1" containsNumber="1" containsInteger="1" minValue="10001" maxValue="10311"/>
    </cacheField>
    <cacheField name="GenderID" numFmtId="0">
      <sharedItems containsString="0" containsBlank="1" containsNumber="1" containsInteger="1" minValue="0" maxValue="1"/>
    </cacheField>
    <cacheField name="Salary" numFmtId="2">
      <sharedItems containsString="0" containsBlank="1" containsNumber="1" minValue="45046" maxValue="250000"/>
    </cacheField>
    <cacheField name="Position" numFmtId="0">
      <sharedItems containsBlank="1"/>
    </cacheField>
    <cacheField name="DOB" numFmtId="0">
      <sharedItems containsNonDate="0" containsDate="1" containsString="0" containsBlank="1" minDate="1951-01-02T00:00:00" maxDate="1992-08-18T00:00:00"/>
    </cacheField>
    <cacheField name="Sex" numFmtId="0">
      <sharedItems containsBlank="1"/>
    </cacheField>
    <cacheField name="CitizenDesc" numFmtId="0">
      <sharedItems containsBlank="1"/>
    </cacheField>
    <cacheField name="DateofHire" numFmtId="0">
      <sharedItems containsNonDate="0" containsDate="1" containsString="0" containsBlank="1" minDate="2006-01-09T00:00:00" maxDate="2018-07-10T00:00:00"/>
    </cacheField>
    <cacheField name="DateofTermination" numFmtId="0">
      <sharedItems containsNonDate="0" containsDate="1" containsString="0" containsBlank="1" minDate="2010-08-30T00:00:00" maxDate="2018-11-11T00:00:00"/>
    </cacheField>
    <cacheField name="TermReason" numFmtId="0">
      <sharedItems containsBlank="1"/>
    </cacheField>
    <cacheField name="EmploymentStatus" numFmtId="0">
      <sharedItems containsBlank="1" containsMixedTypes="1" containsNumber="1" containsInteger="1" minValue="311" maxValue="311"/>
    </cacheField>
    <cacheField name="Department" numFmtId="0">
      <sharedItems containsBlank="1"/>
    </cacheField>
    <cacheField name="ManagerName" numFmtId="0">
      <sharedItems containsBlank="1" containsMixedTypes="1" containsNumber="1" containsInteger="1" minValue="311" maxValue="311"/>
    </cacheField>
    <cacheField name="Age" numFmtId="0">
      <sharedItems containsString="0" containsBlank="1" containsNumber="1" minValue="33" maxValue="74" count="40">
        <n v="42"/>
        <n v="50"/>
        <n v="37"/>
        <n v="36"/>
        <n v="48"/>
        <n v="46"/>
        <n v="55"/>
        <n v="51"/>
        <n v="44"/>
        <n v="59"/>
        <n v="39"/>
        <n v="54"/>
        <n v="66"/>
        <n v="35"/>
        <n v="58"/>
        <n v="61"/>
        <n v="38"/>
        <n v="56"/>
        <n v="45"/>
        <n v="62"/>
        <n v="74"/>
        <n v="53"/>
        <n v="40"/>
        <n v="47"/>
        <n v="49"/>
        <n v="60"/>
        <n v="73"/>
        <n v="43"/>
        <n v="52"/>
        <n v="34"/>
        <n v="70"/>
        <n v="57"/>
        <n v="33"/>
        <n v="41"/>
        <n v="71"/>
        <n v="64"/>
        <n v="72"/>
        <n v="67"/>
        <n v="46.382636655948552"/>
        <m/>
      </sharedItems>
    </cacheField>
    <cacheField name="Experience" numFmtId="0">
      <sharedItems containsString="0" containsBlank="1" containsNumber="1" minValue="0" maxValue="19" count="22">
        <n v="14"/>
        <n v="1"/>
        <n v="17"/>
        <n v="5"/>
        <n v="13"/>
        <n v="11"/>
        <n v="12"/>
        <n v="16"/>
        <n v="10"/>
        <n v="6"/>
        <n v="4"/>
        <n v="9"/>
        <n v="3"/>
        <n v="2"/>
        <n v="0"/>
        <n v="15"/>
        <n v="7"/>
        <n v="8"/>
        <n v="18"/>
        <n v="19"/>
        <n v="8.861736334405144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1"/>
    <n v="62506"/>
    <x v="0"/>
    <d v="1983-07-10T00:00:00"/>
    <x v="0"/>
    <s v="US Citizen"/>
    <d v="2011-07-05T00:00:00"/>
    <m/>
    <s v="N/A-StillEmployed"/>
    <x v="0"/>
    <x v="0"/>
    <s v="Michael Albert"/>
    <n v="42"/>
    <n v="14"/>
  </r>
  <r>
    <s v="Ait Sidi, Karthikeyan"/>
    <n v="10084"/>
    <n v="1"/>
    <n v="104437"/>
    <x v="1"/>
    <d v="1975-05-05T00:00:00"/>
    <x v="0"/>
    <s v="US Citizen"/>
    <d v="2015-03-30T00:00:00"/>
    <d v="2016-06-16T00:00:00"/>
    <s v="career change"/>
    <x v="1"/>
    <x v="1"/>
    <s v="Simon Roup"/>
    <n v="50"/>
    <n v="1"/>
  </r>
  <r>
    <s v="Akinkuolie, Sarah"/>
    <n v="10196"/>
    <n v="0"/>
    <n v="64955"/>
    <x v="2"/>
    <d v="1988-09-19T00:00:00"/>
    <x v="1"/>
    <s v="US Citizen"/>
    <d v="2011-07-05T00:00:00"/>
    <d v="2012-09-24T00:00:00"/>
    <s v="hours"/>
    <x v="1"/>
    <x v="0"/>
    <s v="Kissy Sullivan"/>
    <n v="37"/>
    <n v="1"/>
  </r>
  <r>
    <s v="Alagbe,Trina"/>
    <n v="10088"/>
    <n v="0"/>
    <n v="64991"/>
    <x v="0"/>
    <d v="1988-09-27T00:00:00"/>
    <x v="1"/>
    <s v="US Citizen"/>
    <d v="2008-01-07T00:00:00"/>
    <m/>
    <s v="N/A-StillEmployed"/>
    <x v="0"/>
    <x v="0"/>
    <s v="Elijiah Gray"/>
    <n v="37"/>
    <n v="17"/>
  </r>
  <r>
    <s v="Anderson, Carol"/>
    <n v="10069"/>
    <n v="0"/>
    <n v="50825"/>
    <x v="0"/>
    <d v="1989-09-08T00:00:00"/>
    <x v="1"/>
    <s v="US Citizen"/>
    <d v="2011-07-11T00:00:00"/>
    <d v="2016-09-06T00:00:00"/>
    <s v="return to school"/>
    <x v="1"/>
    <x v="0"/>
    <s v="Webster Butler"/>
    <n v="36"/>
    <n v="5"/>
  </r>
  <r>
    <s v="Anderson, Linda"/>
    <n v="10002"/>
    <n v="0"/>
    <n v="57568"/>
    <x v="0"/>
    <d v="1977-05-22T00:00:00"/>
    <x v="1"/>
    <s v="US Citizen"/>
    <d v="2012-01-09T00:00:00"/>
    <m/>
    <s v="N/A-StillEmployed"/>
    <x v="0"/>
    <x v="0"/>
    <s v="Amy Dunn"/>
    <n v="48"/>
    <n v="13"/>
  </r>
  <r>
    <s v="Andreola, Colby"/>
    <n v="10194"/>
    <n v="0"/>
    <n v="95660"/>
    <x v="3"/>
    <d v="1979-05-24T00:00:00"/>
    <x v="1"/>
    <s v="US Citizen"/>
    <d v="2014-11-10T00:00:00"/>
    <m/>
    <s v="N/A-StillEmployed"/>
    <x v="0"/>
    <x v="2"/>
    <s v="Alex Sweetwater"/>
    <n v="46"/>
    <n v="11"/>
  </r>
  <r>
    <s v="Athwal, Sam"/>
    <n v="10062"/>
    <n v="1"/>
    <n v="59365"/>
    <x v="0"/>
    <d v="1983-02-18T00:00:00"/>
    <x v="0"/>
    <s v="US Citizen"/>
    <d v="2013-09-30T00:00:00"/>
    <m/>
    <s v="N/A-StillEmployed"/>
    <x v="0"/>
    <x v="0"/>
    <s v="Ketsia Liebig"/>
    <n v="42"/>
    <n v="12"/>
  </r>
  <r>
    <s v="Bachiochi, Linda"/>
    <n v="10114"/>
    <n v="0"/>
    <n v="47837"/>
    <x v="0"/>
    <d v="1970-02-11T00:00:00"/>
    <x v="1"/>
    <s v="US Citizen"/>
    <d v="2009-07-06T00:00:00"/>
    <m/>
    <s v="N/A-StillEmployed"/>
    <x v="0"/>
    <x v="0"/>
    <s v="Brannon Miller"/>
    <n v="55"/>
    <n v="16"/>
  </r>
  <r>
    <s v="Bacong, Alejandro"/>
    <n v="10250"/>
    <n v="1"/>
    <n v="50178"/>
    <x v="4"/>
    <d v="1988-01-07T00:00:00"/>
    <x v="0"/>
    <s v="US Citizen"/>
    <d v="2015-01-05T00:00:00"/>
    <m/>
    <s v="N/A-StillEmployed"/>
    <x v="0"/>
    <x v="1"/>
    <s v="Peter Monroe"/>
    <n v="37"/>
    <n v="10"/>
  </r>
  <r>
    <s v="Baczenski, Rachael"/>
    <n v="10252"/>
    <n v="0"/>
    <n v="54670"/>
    <x v="0"/>
    <d v="1974-01-12T00:00:00"/>
    <x v="1"/>
    <s v="US Citizen"/>
    <d v="2011-01-10T00:00:00"/>
    <d v="2017-01-12T00:00:00"/>
    <s v="Another position"/>
    <x v="1"/>
    <x v="0"/>
    <s v="David Stanley"/>
    <n v="51"/>
    <n v="6"/>
  </r>
  <r>
    <s v="Barbara, Thomas"/>
    <n v="10242"/>
    <n v="1"/>
    <n v="47211"/>
    <x v="0"/>
    <d v="1974-02-21T00:00:00"/>
    <x v="0"/>
    <s v="US Citizen"/>
    <d v="2012-04-02T00:00:00"/>
    <d v="2016-09-19T00:00:00"/>
    <s v="unhappy"/>
    <x v="1"/>
    <x v="0"/>
    <s v="Kissy Sullivan"/>
    <n v="51"/>
    <n v="4"/>
  </r>
  <r>
    <s v="Barbossa, Hector"/>
    <n v="10012"/>
    <n v="1"/>
    <n v="92328"/>
    <x v="5"/>
    <d v="1988-07-04T00:00:00"/>
    <x v="0"/>
    <s v="US Citizen"/>
    <d v="2014-11-10T00:00:00"/>
    <m/>
    <s v="N/A-StillEmployed"/>
    <x v="0"/>
    <x v="1"/>
    <s v="Simon Roup"/>
    <n v="37"/>
    <n v="11"/>
  </r>
  <r>
    <s v="Barone, Francesco  A"/>
    <n v="10265"/>
    <n v="1"/>
    <n v="58709"/>
    <x v="0"/>
    <d v="1983-07-20T00:00:00"/>
    <x v="0"/>
    <s v="US Citizen"/>
    <d v="2012-02-20T00:00:00"/>
    <m/>
    <s v="N/A-StillEmployed"/>
    <x v="0"/>
    <x v="0"/>
    <s v="Kelley Spirea"/>
    <n v="42"/>
    <n v="13"/>
  </r>
  <r>
    <s v="Barton, Nader"/>
    <n v="10066"/>
    <n v="1"/>
    <n v="52505"/>
    <x v="0"/>
    <d v="1977-07-15T00:00:00"/>
    <x v="0"/>
    <s v="US Citizen"/>
    <d v="2012-09-24T00:00:00"/>
    <d v="2017-04-06T00:00:00"/>
    <s v="Another position"/>
    <x v="1"/>
    <x v="0"/>
    <s v="Michael Albert"/>
    <n v="48"/>
    <n v="4"/>
  </r>
  <r>
    <s v="Bates, Norman"/>
    <n v="10061"/>
    <n v="1"/>
    <n v="57834"/>
    <x v="0"/>
    <d v="1981-10-18T00:00:00"/>
    <x v="0"/>
    <s v="US Citizen"/>
    <d v="2011-02-21T00:00:00"/>
    <d v="2017-08-04T00:00:00"/>
    <s v="attendance"/>
    <x v="2"/>
    <x v="0"/>
    <s v="Kelley Spirea"/>
    <n v="44"/>
    <n v="6"/>
  </r>
  <r>
    <s v="Beak, Kimberly"/>
    <n v="10023"/>
    <n v="0"/>
    <n v="70131"/>
    <x v="2"/>
    <d v="1966-04-17T00:00:00"/>
    <x v="1"/>
    <s v="US Citizen"/>
    <d v="2016-07-21T00:00:00"/>
    <m/>
    <s v="N/A-StillEmployed"/>
    <x v="0"/>
    <x v="0"/>
    <s v="Kelley Spirea"/>
    <n v="59"/>
    <n v="9"/>
  </r>
  <r>
    <s v="Beatrice, Courtney"/>
    <n v="10055"/>
    <n v="0"/>
    <n v="59026"/>
    <x v="0"/>
    <d v="1970-10-27T00:00:00"/>
    <x v="1"/>
    <s v="Eligible NonCitizen"/>
    <d v="2011-04-04T00:00:00"/>
    <m/>
    <s v="N/A-StillEmployed"/>
    <x v="0"/>
    <x v="0"/>
    <s v="Elijiah Gray"/>
    <n v="55"/>
    <n v="14"/>
  </r>
  <r>
    <s v="Becker, Renee"/>
    <n v="10245"/>
    <n v="0"/>
    <n v="110000"/>
    <x v="6"/>
    <d v="1986-04-04T00:00:00"/>
    <x v="1"/>
    <s v="US Citizen"/>
    <d v="2014-07-07T00:00:00"/>
    <d v="2015-09-12T00:00:00"/>
    <s v="performance"/>
    <x v="2"/>
    <x v="1"/>
    <s v="Simon Roup"/>
    <n v="39"/>
    <n v="1"/>
  </r>
  <r>
    <s v="Becker, Scott"/>
    <n v="10277"/>
    <n v="1"/>
    <n v="53250"/>
    <x v="0"/>
    <d v="1979-04-06T00:00:00"/>
    <x v="0"/>
    <s v="US Citizen"/>
    <d v="2013-07-08T00:00:00"/>
    <m/>
    <s v="N/A-StillEmployed"/>
    <x v="0"/>
    <x v="0"/>
    <s v="Webster Butler"/>
    <n v="46"/>
    <n v="12"/>
  </r>
  <r>
    <s v="Bernstein, Sean"/>
    <n v="10046"/>
    <n v="1"/>
    <n v="51044"/>
    <x v="0"/>
    <d v="1970-12-22T00:00:00"/>
    <x v="0"/>
    <s v="US Citizen"/>
    <d v="2012-04-02T00:00:00"/>
    <m/>
    <s v="N/A-StillEmployed"/>
    <x v="0"/>
    <x v="0"/>
    <s v="Amy Dunn"/>
    <n v="54"/>
    <n v="13"/>
  </r>
  <r>
    <s v="Biden, Lowan  M"/>
    <n v="10226"/>
    <n v="0"/>
    <n v="64919"/>
    <x v="0"/>
    <d v="1958-12-27T00:00:00"/>
    <x v="1"/>
    <s v="US Citizen"/>
    <d v="2013-08-19T00:00:00"/>
    <m/>
    <s v="N/A-StillEmployed"/>
    <x v="0"/>
    <x v="0"/>
    <s v="Ketsia Liebig"/>
    <n v="66"/>
    <n v="12"/>
  </r>
  <r>
    <s v="Billis, Helen"/>
    <n v="10003"/>
    <n v="0"/>
    <n v="62910"/>
    <x v="0"/>
    <d v="1989-09-01T00:00:00"/>
    <x v="1"/>
    <s v="US Citizen"/>
    <d v="2014-07-07T00:00:00"/>
    <m/>
    <s v="N/A-StillEmployed"/>
    <x v="0"/>
    <x v="0"/>
    <s v="Brannon Miller"/>
    <n v="36"/>
    <n v="11"/>
  </r>
  <r>
    <s v="Blount, Dianna"/>
    <n v="10294"/>
    <n v="0"/>
    <n v="66441"/>
    <x v="2"/>
    <d v="1990-09-21T00:00:00"/>
    <x v="1"/>
    <s v="US Citizen"/>
    <d v="2011-04-04T00:00:00"/>
    <m/>
    <s v="N/A-StillEmployed"/>
    <x v="0"/>
    <x v="0"/>
    <s v="Michael Albert"/>
    <n v="35"/>
    <n v="14"/>
  </r>
  <r>
    <s v="Bondwell, Betsy"/>
    <n v="10267"/>
    <n v="0"/>
    <n v="57815"/>
    <x v="2"/>
    <d v="1967-01-16T00:00:00"/>
    <x v="1"/>
    <s v="US Citizen"/>
    <d v="2011-01-10T00:00:00"/>
    <d v="2014-04-04T00:00:00"/>
    <s v="career change"/>
    <x v="1"/>
    <x v="0"/>
    <s v="Elijiah Gray"/>
    <n v="58"/>
    <n v="3"/>
  </r>
  <r>
    <s v="Booth, Frank"/>
    <n v="10199"/>
    <n v="1"/>
    <n v="103613"/>
    <x v="7"/>
    <d v="1964-07-30T00:00:00"/>
    <x v="0"/>
    <s v="US Citizen"/>
    <d v="2014-02-17T00:00:00"/>
    <d v="2016-02-19T00:00:00"/>
    <s v="Learned that he is a gangster"/>
    <x v="2"/>
    <x v="1"/>
    <s v="Simon Roup"/>
    <n v="61"/>
    <n v="2"/>
  </r>
  <r>
    <s v="Boutwell, Bonalyn"/>
    <n v="10081"/>
    <n v="0"/>
    <n v="106367"/>
    <x v="8"/>
    <d v="1987-04-04T00:00:00"/>
    <x v="1"/>
    <s v="US Citizen"/>
    <d v="2015-02-16T00:00:00"/>
    <m/>
    <s v="N/A-StillEmployed"/>
    <x v="0"/>
    <x v="3"/>
    <s v="Brandon R. LeBlanc"/>
    <n v="38"/>
    <n v="10"/>
  </r>
  <r>
    <s v="Bozzi, Charles"/>
    <n v="10175"/>
    <n v="1"/>
    <n v="74312"/>
    <x v="9"/>
    <d v="1970-03-10T00:00:00"/>
    <x v="0"/>
    <s v="US Citizen"/>
    <d v="2013-09-30T00:00:00"/>
    <d v="2014-08-07T00:00:00"/>
    <s v="retiring"/>
    <x v="1"/>
    <x v="0"/>
    <s v="Janet King"/>
    <n v="55"/>
    <n v="0"/>
  </r>
  <r>
    <s v="Brill, Donna"/>
    <n v="10177"/>
    <n v="0"/>
    <n v="53492"/>
    <x v="0"/>
    <d v="1990-08-24T00:00:00"/>
    <x v="1"/>
    <s v="US Citizen"/>
    <d v="2012-04-02T00:00:00"/>
    <d v="2013-06-15T00:00:00"/>
    <s v="Another position"/>
    <x v="1"/>
    <x v="0"/>
    <s v="David Stanley"/>
    <n v="35"/>
    <n v="1"/>
  </r>
  <r>
    <s v="Brown, Mia"/>
    <n v="10238"/>
    <n v="0"/>
    <n v="63000"/>
    <x v="10"/>
    <d v="1987-11-24T00:00:00"/>
    <x v="1"/>
    <s v="US Citizen"/>
    <d v="2008-10-27T00:00:00"/>
    <m/>
    <s v="N/A-StillEmployed"/>
    <x v="0"/>
    <x v="3"/>
    <s v="Brandon R. LeBlanc"/>
    <n v="38"/>
    <n v="17"/>
  </r>
  <r>
    <s v="Buccheri, Joseph"/>
    <n v="10184"/>
    <n v="1"/>
    <n v="65288"/>
    <x v="2"/>
    <d v="1983-07-28T00:00:00"/>
    <x v="0"/>
    <s v="US Citizen"/>
    <d v="2014-09-29T00:00:00"/>
    <m/>
    <s v="N/A-StillEmployed"/>
    <x v="0"/>
    <x v="0"/>
    <s v="Webster Butler"/>
    <n v="42"/>
    <n v="11"/>
  </r>
  <r>
    <s v="Bugali, Josephine"/>
    <n v="10203"/>
    <n v="0"/>
    <n v="64375"/>
    <x v="0"/>
    <d v="1969-10-30T00:00:00"/>
    <x v="1"/>
    <s v="US Citizen"/>
    <d v="2013-11-11T00:00:00"/>
    <m/>
    <s v="N/A-StillEmployed"/>
    <x v="0"/>
    <x v="0"/>
    <s v="Kissy Sullivan"/>
    <n v="56"/>
    <n v="12"/>
  </r>
  <r>
    <s v="Bunbury, Jessica"/>
    <n v="10188"/>
    <n v="0"/>
    <n v="74326"/>
    <x v="11"/>
    <d v="1964-06-01T00:00:00"/>
    <x v="1"/>
    <s v="Eligible NonCitizen"/>
    <d v="2011-08-15T00:00:00"/>
    <d v="2014-08-02T00:00:00"/>
    <s v="Another position"/>
    <x v="1"/>
    <x v="4"/>
    <s v="John Smith"/>
    <n v="61"/>
    <n v="2"/>
  </r>
  <r>
    <s v="Burke, Joelle"/>
    <n v="10107"/>
    <n v="0"/>
    <n v="63763"/>
    <x v="2"/>
    <d v="1980-03-02T00:00:00"/>
    <x v="1"/>
    <s v="US Citizen"/>
    <d v="2012-03-05T00:00:00"/>
    <m/>
    <s v="N/A-StillEmployed"/>
    <x v="0"/>
    <x v="0"/>
    <s v="Amy Dunn"/>
    <n v="45"/>
    <n v="13"/>
  </r>
  <r>
    <s v="Burkett, Benjamin"/>
    <n v="10181"/>
    <n v="1"/>
    <n v="62162"/>
    <x v="2"/>
    <d v="1977-08-19T00:00:00"/>
    <x v="0"/>
    <s v="US Citizen"/>
    <d v="2011-04-04T00:00:00"/>
    <m/>
    <s v="N/A-StillEmployed"/>
    <x v="0"/>
    <x v="0"/>
    <s v="Ketsia Liebig"/>
    <n v="48"/>
    <n v="14"/>
  </r>
  <r>
    <s v="Cady, Max"/>
    <n v="10150"/>
    <n v="1"/>
    <n v="77692"/>
    <x v="12"/>
    <d v="1966-11-22T00:00:00"/>
    <x v="0"/>
    <s v="US Citizen"/>
    <d v="2011-08-15T00:00:00"/>
    <m/>
    <s v="N/A-StillEmployed"/>
    <x v="0"/>
    <x v="2"/>
    <s v="Jennifer Zamora"/>
    <n v="59"/>
    <n v="14"/>
  </r>
  <r>
    <s v="Candie, Calvin"/>
    <n v="10001"/>
    <n v="1"/>
    <n v="72640"/>
    <x v="9"/>
    <d v="1983-08-09T00:00:00"/>
    <x v="0"/>
    <s v="US Citizen"/>
    <d v="2016-01-28T00:00:00"/>
    <m/>
    <s v="N/A-StillEmployed"/>
    <x v="0"/>
    <x v="0"/>
    <s v="Janet King"/>
    <n v="42"/>
    <n v="9"/>
  </r>
  <r>
    <s v="Carabbio, Judith"/>
    <n v="10085"/>
    <n v="0"/>
    <n v="93396"/>
    <x v="3"/>
    <d v="1987-04-05T00:00:00"/>
    <x v="1"/>
    <s v="US Citizen"/>
    <d v="2013-11-11T00:00:00"/>
    <m/>
    <s v="N/A-StillEmployed"/>
    <x v="0"/>
    <x v="2"/>
    <s v="Alex Sweetwater"/>
    <n v="38"/>
    <n v="12"/>
  </r>
  <r>
    <s v="Carey, Michael"/>
    <n v="10115"/>
    <n v="1"/>
    <n v="52846"/>
    <x v="0"/>
    <d v="1983-02-02T00:00:00"/>
    <x v="0"/>
    <s v="US Citizen"/>
    <d v="2014-03-31T00:00:00"/>
    <m/>
    <s v="N/A-StillEmployed"/>
    <x v="0"/>
    <x v="0"/>
    <s v="Kelley Spirea"/>
    <n v="42"/>
    <n v="11"/>
  </r>
  <r>
    <s v="Carr, Claudia  N"/>
    <n v="10082"/>
    <n v="0"/>
    <n v="100031"/>
    <x v="1"/>
    <d v="1986-06-06T00:00:00"/>
    <x v="1"/>
    <s v="US Citizen"/>
    <d v="2016-06-30T00:00:00"/>
    <m/>
    <s v="N/A-StillEmployed"/>
    <x v="0"/>
    <x v="1"/>
    <s v="Simon Roup"/>
    <n v="39"/>
    <n v="9"/>
  </r>
  <r>
    <s v="Carter, Michelle"/>
    <n v="10040"/>
    <n v="0"/>
    <n v="71860"/>
    <x v="11"/>
    <d v="1963-05-15T00:00:00"/>
    <x v="1"/>
    <s v="US Citizen"/>
    <d v="2014-08-18T00:00:00"/>
    <m/>
    <s v="N/A-StillEmployed"/>
    <x v="0"/>
    <x v="4"/>
    <s v="John Smith"/>
    <n v="62"/>
    <n v="11"/>
  </r>
  <r>
    <s v="Chace, Beatrice"/>
    <n v="10067"/>
    <n v="0"/>
    <n v="61656"/>
    <x v="0"/>
    <d v="1951-01-02T00:00:00"/>
    <x v="1"/>
    <s v="US Citizen"/>
    <d v="2014-09-29T00:00:00"/>
    <m/>
    <s v="N/A-StillEmployed"/>
    <x v="0"/>
    <x v="0"/>
    <s v="Michael Albert"/>
    <n v="74"/>
    <n v="11"/>
  </r>
  <r>
    <s v="Champaigne, Brian"/>
    <n v="10108"/>
    <n v="1"/>
    <n v="110929"/>
    <x v="13"/>
    <d v="1972-02-09T00:00:00"/>
    <x v="0"/>
    <s v="US Citizen"/>
    <d v="2016-09-06T00:00:00"/>
    <m/>
    <s v="N/A-StillEmployed"/>
    <x v="0"/>
    <x v="1"/>
    <s v="Jennifer Zamora"/>
    <n v="53"/>
    <n v="9"/>
  </r>
  <r>
    <s v="Chan, Lin"/>
    <n v="10210"/>
    <n v="0"/>
    <n v="54237"/>
    <x v="0"/>
    <d v="1979-02-12T00:00:00"/>
    <x v="1"/>
    <s v="US Citizen"/>
    <d v="2014-05-12T00:00:00"/>
    <m/>
    <s v="N/A-StillEmployed"/>
    <x v="0"/>
    <x v="0"/>
    <s v="Elijiah Gray"/>
    <n v="46"/>
    <n v="11"/>
  </r>
  <r>
    <s v="Chang, Donovan  E"/>
    <n v="10154"/>
    <n v="1"/>
    <n v="60380"/>
    <x v="0"/>
    <d v="1983-08-24T00:00:00"/>
    <x v="0"/>
    <s v="US Citizen"/>
    <d v="2013-07-08T00:00:00"/>
    <m/>
    <s v="N/A-StillEmployed"/>
    <x v="0"/>
    <x v="0"/>
    <s v="Webster Butler"/>
    <n v="42"/>
    <n v="12"/>
  </r>
  <r>
    <s v="Chigurh, Anton"/>
    <n v="10200"/>
    <n v="1"/>
    <n v="66808"/>
    <x v="11"/>
    <d v="1970-06-11T00:00:00"/>
    <x v="0"/>
    <s v="Eligible NonCitizen"/>
    <d v="2012-05-14T00:00:00"/>
    <m/>
    <s v="N/A-StillEmployed"/>
    <x v="0"/>
    <x v="4"/>
    <s v="Lynn Daneault"/>
    <n v="55"/>
    <n v="13"/>
  </r>
  <r>
    <s v="Chivukula, Enola"/>
    <n v="10240"/>
    <n v="0"/>
    <n v="64786"/>
    <x v="0"/>
    <d v="1983-08-27T00:00:00"/>
    <x v="1"/>
    <s v="US Citizen"/>
    <d v="2011-06-27T00:00:00"/>
    <d v="2015-11-15T00:00:00"/>
    <s v="relocation out of area"/>
    <x v="1"/>
    <x v="0"/>
    <s v="Amy Dunn"/>
    <n v="42"/>
    <n v="4"/>
  </r>
  <r>
    <s v="Cierpiszewski, Caroline"/>
    <n v="10168"/>
    <n v="0"/>
    <n v="64816"/>
    <x v="0"/>
    <d v="1988-05-31T00:00:00"/>
    <x v="1"/>
    <s v="Non-Citizen"/>
    <d v="2011-10-03T00:00:00"/>
    <m/>
    <s v="N/A-StillEmployed"/>
    <x v="0"/>
    <x v="0"/>
    <s v="Ketsia Liebig"/>
    <n v="37"/>
    <n v="14"/>
  </r>
  <r>
    <s v="Clayton, Rick"/>
    <n v="10220"/>
    <n v="1"/>
    <n v="68678"/>
    <x v="4"/>
    <d v="1985-09-05T00:00:00"/>
    <x v="0"/>
    <s v="US Citizen"/>
    <d v="2012-09-05T00:00:00"/>
    <m/>
    <s v="N/A-StillEmployed"/>
    <x v="0"/>
    <x v="1"/>
    <s v="Eric Dougall"/>
    <n v="40"/>
    <n v="13"/>
  </r>
  <r>
    <s v="Cloninger, Jennifer"/>
    <n v="10275"/>
    <n v="0"/>
    <n v="64066"/>
    <x v="2"/>
    <d v="1981-08-31T00:00:00"/>
    <x v="1"/>
    <s v="US Citizen"/>
    <d v="2011-05-16T00:00:00"/>
    <d v="2013-01-07T00:00:00"/>
    <s v="unhappy"/>
    <x v="1"/>
    <x v="0"/>
    <s v="Brannon Miller"/>
    <n v="44"/>
    <n v="1"/>
  </r>
  <r>
    <s v="Close, Phil"/>
    <n v="10269"/>
    <n v="1"/>
    <n v="59369"/>
    <x v="2"/>
    <d v="1978-11-25T00:00:00"/>
    <x v="0"/>
    <s v="US Citizen"/>
    <d v="2010-08-30T00:00:00"/>
    <d v="2011-09-26T00:00:00"/>
    <s v="career change"/>
    <x v="1"/>
    <x v="0"/>
    <s v="David Stanley"/>
    <n v="47"/>
    <n v="1"/>
  </r>
  <r>
    <s v="Clukey, Elijian"/>
    <n v="10029"/>
    <n v="1"/>
    <n v="50373"/>
    <x v="0"/>
    <d v="1980-08-26T00:00:00"/>
    <x v="0"/>
    <s v="US Citizen"/>
    <d v="2016-07-06T00:00:00"/>
    <m/>
    <s v="N/A-StillEmployed"/>
    <x v="0"/>
    <x v="0"/>
    <s v="Brannon Miller"/>
    <n v="45"/>
    <n v="9"/>
  </r>
  <r>
    <s v="Cockel, James"/>
    <n v="10261"/>
    <n v="1"/>
    <n v="63108"/>
    <x v="0"/>
    <d v="1977-09-08T00:00:00"/>
    <x v="0"/>
    <s v="US Citizen"/>
    <d v="2013-07-08T00:00:00"/>
    <m/>
    <s v="N/A-StillEmployed"/>
    <x v="0"/>
    <x v="0"/>
    <s v="David Stanley"/>
    <n v="48"/>
    <n v="12"/>
  </r>
  <r>
    <s v="Cole, Spencer"/>
    <n v="10292"/>
    <n v="1"/>
    <n v="59144"/>
    <x v="0"/>
    <d v="1979-08-12T00:00:00"/>
    <x v="0"/>
    <s v="US Citizen"/>
    <d v="2011-07-11T00:00:00"/>
    <d v="2016-09-23T00:00:00"/>
    <s v="performance"/>
    <x v="2"/>
    <x v="0"/>
    <s v="Kissy Sullivan"/>
    <n v="46"/>
    <n v="5"/>
  </r>
  <r>
    <s v="Corleone, Michael"/>
    <n v="10282"/>
    <n v="1"/>
    <n v="68051"/>
    <x v="9"/>
    <d v="1975-12-17T00:00:00"/>
    <x v="0"/>
    <s v="US Citizen"/>
    <d v="2010-07-20T00:00:00"/>
    <m/>
    <s v="N/A-StillEmployed"/>
    <x v="0"/>
    <x v="0"/>
    <s v="Janet King"/>
    <n v="49"/>
    <n v="15"/>
  </r>
  <r>
    <s v="Corleone, Vito"/>
    <n v="10019"/>
    <n v="1"/>
    <n v="170500"/>
    <x v="14"/>
    <d v="1983-03-19T00:00:00"/>
    <x v="0"/>
    <s v="US Citizen"/>
    <d v="2009-01-05T00:00:00"/>
    <m/>
    <s v="N/A-StillEmployed"/>
    <x v="0"/>
    <x v="0"/>
    <s v="Janet King"/>
    <n v="42"/>
    <n v="16"/>
  </r>
  <r>
    <s v="Cornett, Lisa"/>
    <n v="10094"/>
    <n v="0"/>
    <n v="63381"/>
    <x v="0"/>
    <d v="1977-03-31T00:00:00"/>
    <x v="1"/>
    <s v="US Citizen"/>
    <d v="2015-01-05T00:00:00"/>
    <m/>
    <s v="N/A-StillEmployed"/>
    <x v="0"/>
    <x v="0"/>
    <s v="Kelley Spirea"/>
    <n v="48"/>
    <n v="10"/>
  </r>
  <r>
    <s v="Costello, Frank"/>
    <n v="10193"/>
    <n v="1"/>
    <n v="83552"/>
    <x v="5"/>
    <d v="1986-08-26T00:00:00"/>
    <x v="0"/>
    <s v="US Citizen"/>
    <d v="2015-03-30T00:00:00"/>
    <m/>
    <s v="N/A-StillEmployed"/>
    <x v="0"/>
    <x v="1"/>
    <s v="Simon Roup"/>
    <n v="39"/>
    <n v="10"/>
  </r>
  <r>
    <s v="Crimmings,   Jean"/>
    <n v="10132"/>
    <n v="0"/>
    <n v="56149"/>
    <x v="0"/>
    <d v="1987-04-10T00:00:00"/>
    <x v="1"/>
    <s v="US Citizen"/>
    <d v="2016-07-06T00:00:00"/>
    <m/>
    <s v="N/A-StillEmployed"/>
    <x v="0"/>
    <x v="0"/>
    <s v="Michael Albert"/>
    <n v="38"/>
    <n v="9"/>
  </r>
  <r>
    <s v="Cross, Noah"/>
    <n v="10083"/>
    <n v="1"/>
    <n v="92329"/>
    <x v="15"/>
    <d v="1965-09-09T00:00:00"/>
    <x v="0"/>
    <s v="US Citizen"/>
    <d v="2014-11-10T00:00:00"/>
    <m/>
    <s v="N/A-StillEmployed"/>
    <x v="0"/>
    <x v="1"/>
    <s v="Peter Monroe"/>
    <n v="60"/>
    <n v="11"/>
  </r>
  <r>
    <s v="Daneault, Lynn"/>
    <n v="10099"/>
    <n v="0"/>
    <n v="65729"/>
    <x v="16"/>
    <d v="1990-04-19T00:00:00"/>
    <x v="1"/>
    <s v="US Citizen"/>
    <d v="2014-05-05T00:00:00"/>
    <m/>
    <s v="N/A-StillEmployed"/>
    <x v="0"/>
    <x v="4"/>
    <s v="Debra Houlihan"/>
    <n v="35"/>
    <n v="11"/>
  </r>
  <r>
    <s v="Daniele, Ann"/>
    <n v="10212"/>
    <n v="0"/>
    <n v="85028"/>
    <x v="15"/>
    <d v="1952-01-18T00:00:00"/>
    <x v="1"/>
    <s v="US Citizen"/>
    <d v="2014-11-10T00:00:00"/>
    <m/>
    <s v="N/A-StillEmployed"/>
    <x v="0"/>
    <x v="1"/>
    <s v="Peter Monroe"/>
    <n v="73"/>
    <n v="11"/>
  </r>
  <r>
    <s v="Darson, Jene'ya"/>
    <n v="10056"/>
    <n v="0"/>
    <n v="57583"/>
    <x v="0"/>
    <d v="1978-11-05T00:00:00"/>
    <x v="1"/>
    <s v="US Citizen"/>
    <d v="2012-07-02T00:00:00"/>
    <m/>
    <s v="N/A-StillEmployed"/>
    <x v="0"/>
    <x v="0"/>
    <s v="Elijiah Gray"/>
    <n v="47"/>
    <n v="13"/>
  </r>
  <r>
    <s v="Davis, Daniel"/>
    <n v="10143"/>
    <n v="1"/>
    <n v="56294"/>
    <x v="2"/>
    <d v="1979-09-14T00:00:00"/>
    <x v="0"/>
    <s v="Eligible NonCitizen"/>
    <d v="2011-11-07T00:00:00"/>
    <m/>
    <s v="N/A-StillEmployed"/>
    <x v="0"/>
    <x v="0"/>
    <s v="Kissy Sullivan"/>
    <n v="46"/>
    <n v="14"/>
  </r>
  <r>
    <s v="Dee, Randy"/>
    <n v="10311"/>
    <n v="1"/>
    <n v="56991"/>
    <x v="0"/>
    <d v="1988-04-15T00:00:00"/>
    <x v="0"/>
    <s v="US Citizen"/>
    <d v="2018-07-09T00:00:00"/>
    <m/>
    <s v="N/A-StillEmployed"/>
    <x v="0"/>
    <x v="0"/>
    <s v="Brannon Miller"/>
    <n v="37"/>
    <n v="7"/>
  </r>
  <r>
    <s v="DeGweck,  James"/>
    <n v="10070"/>
    <n v="1"/>
    <n v="55722"/>
    <x v="0"/>
    <d v="1977-10-31T00:00:00"/>
    <x v="0"/>
    <s v="US Citizen"/>
    <d v="2011-05-16T00:00:00"/>
    <d v="2016-06-08T00:00:00"/>
    <s v="unhappy"/>
    <x v="1"/>
    <x v="0"/>
    <s v="Webster Butler"/>
    <n v="48"/>
    <n v="5"/>
  </r>
  <r>
    <s v="Del Bosque, Keyla"/>
    <n v="10155"/>
    <n v="0"/>
    <n v="101199"/>
    <x v="3"/>
    <d v="1979-07-05T00:00:00"/>
    <x v="1"/>
    <s v="US Citizen"/>
    <d v="2012-01-09T00:00:00"/>
    <m/>
    <s v="N/A-StillEmployed"/>
    <x v="0"/>
    <x v="2"/>
    <s v="Alex Sweetwater"/>
    <n v="46"/>
    <n v="13"/>
  </r>
  <r>
    <s v="Delarge, Alex"/>
    <n v="10306"/>
    <n v="1"/>
    <n v="61568"/>
    <x v="11"/>
    <d v="1975-11-02T00:00:00"/>
    <x v="0"/>
    <s v="US Citizen"/>
    <d v="2014-09-29T00:00:00"/>
    <m/>
    <s v="N/A-StillEmployed"/>
    <x v="0"/>
    <x v="4"/>
    <s v="John Smith"/>
    <n v="50"/>
    <n v="11"/>
  </r>
  <r>
    <s v="Demita, Carla"/>
    <n v="10100"/>
    <n v="0"/>
    <n v="58275"/>
    <x v="2"/>
    <d v="1951-02-25T00:00:00"/>
    <x v="1"/>
    <s v="US Citizen"/>
    <d v="2011-04-04T00:00:00"/>
    <d v="2015-11-04T00:00:00"/>
    <s v="more money"/>
    <x v="1"/>
    <x v="0"/>
    <s v="Kelley Spirea"/>
    <n v="74"/>
    <n v="4"/>
  </r>
  <r>
    <s v="Desimone, Carl"/>
    <n v="10310"/>
    <n v="1"/>
    <n v="53189"/>
    <x v="0"/>
    <d v="1967-04-19T00:00:00"/>
    <x v="0"/>
    <s v="US Citizen"/>
    <d v="2014-07-07T00:00:00"/>
    <m/>
    <s v="N/A-StillEmployed"/>
    <x v="0"/>
    <x v="0"/>
    <s v="Amy Dunn"/>
    <n v="58"/>
    <n v="11"/>
  </r>
  <r>
    <s v="DeVito, Tommy"/>
    <n v="10197"/>
    <n v="1"/>
    <n v="96820"/>
    <x v="17"/>
    <d v="1983-09-04T00:00:00"/>
    <x v="0"/>
    <s v="US Citizen"/>
    <d v="2017-02-15T00:00:00"/>
    <m/>
    <s v="N/A-StillEmployed"/>
    <x v="0"/>
    <x v="1"/>
    <s v="Brian Champaigne"/>
    <n v="42"/>
    <n v="8"/>
  </r>
  <r>
    <s v="Dickinson, Geoff"/>
    <n v="10276"/>
    <n v="1"/>
    <n v="51259"/>
    <x v="0"/>
    <d v="1982-11-15T00:00:00"/>
    <x v="0"/>
    <s v="US Citizen"/>
    <d v="2014-05-12T00:00:00"/>
    <m/>
    <s v="N/A-StillEmployed"/>
    <x v="0"/>
    <x v="0"/>
    <s v="Ketsia Liebig"/>
    <n v="43"/>
    <n v="11"/>
  </r>
  <r>
    <s v="Dietrich, Jenna"/>
    <n v="10304"/>
    <n v="0"/>
    <n v="59231"/>
    <x v="11"/>
    <d v="1987-05-14T00:00:00"/>
    <x v="1"/>
    <s v="US Citizen"/>
    <d v="2012-02-20T00:00:00"/>
    <m/>
    <s v="N/A-StillEmployed"/>
    <x v="0"/>
    <x v="4"/>
    <s v="John Smith"/>
    <n v="38"/>
    <n v="13"/>
  </r>
  <r>
    <s v="DiNocco, Lily"/>
    <n v="10284"/>
    <n v="0"/>
    <n v="61584"/>
    <x v="0"/>
    <d v="1978-12-02T00:00:00"/>
    <x v="1"/>
    <s v="US Citizen"/>
    <d v="2013-01-07T00:00:00"/>
    <m/>
    <s v="N/A-StillEmployed"/>
    <x v="0"/>
    <x v="0"/>
    <s v="Brannon Miller"/>
    <n v="46"/>
    <n v="12"/>
  </r>
  <r>
    <s v="Dobrin, Denisa  S"/>
    <n v="10207"/>
    <n v="0"/>
    <n v="46335"/>
    <x v="0"/>
    <d v="1986-10-07T00:00:00"/>
    <x v="1"/>
    <s v="US Citizen"/>
    <d v="2012-04-02T00:00:00"/>
    <m/>
    <s v="N/A-StillEmployed"/>
    <x v="0"/>
    <x v="0"/>
    <s v="David Stanley"/>
    <n v="39"/>
    <n v="13"/>
  </r>
  <r>
    <s v="Dolan, Linda"/>
    <n v="10133"/>
    <n v="0"/>
    <n v="70621"/>
    <x v="4"/>
    <d v="1988-07-18T00:00:00"/>
    <x v="1"/>
    <s v="US Citizen"/>
    <d v="2015-01-05T00:00:00"/>
    <m/>
    <s v="N/A-StillEmployed"/>
    <x v="0"/>
    <x v="1"/>
    <s v="Peter Monroe"/>
    <n v="37"/>
    <n v="10"/>
  </r>
  <r>
    <s v="Dougall, Eric"/>
    <n v="10028"/>
    <n v="1"/>
    <n v="138888"/>
    <x v="18"/>
    <d v="1970-07-09T00:00:00"/>
    <x v="0"/>
    <s v="US Citizen"/>
    <d v="2014-01-05T00:00:00"/>
    <m/>
    <s v="N/A-StillEmployed"/>
    <x v="0"/>
    <x v="1"/>
    <s v="Jennifer Zamora"/>
    <n v="55"/>
    <n v="11"/>
  </r>
  <r>
    <s v="Driver, Elle"/>
    <n v="10006"/>
    <n v="0"/>
    <n v="74241"/>
    <x v="11"/>
    <d v="1988-11-08T00:00:00"/>
    <x v="1"/>
    <s v="US Citizen"/>
    <d v="2011-01-10T00:00:00"/>
    <m/>
    <s v="N/A-StillEmployed"/>
    <x v="0"/>
    <x v="4"/>
    <s v="Lynn Daneault"/>
    <n v="37"/>
    <n v="14"/>
  </r>
  <r>
    <s v="Dunn, Amy"/>
    <n v="10105"/>
    <n v="0"/>
    <n v="75188"/>
    <x v="9"/>
    <d v="1973-11-28T00:00:00"/>
    <x v="1"/>
    <s v="US Citizen"/>
    <d v="2014-09-18T00:00:00"/>
    <m/>
    <s v="N/A-StillEmployed"/>
    <x v="0"/>
    <x v="0"/>
    <s v="Janet King"/>
    <n v="52"/>
    <n v="11"/>
  </r>
  <r>
    <s v="Dunne, Amy"/>
    <n v="10211"/>
    <n v="0"/>
    <n v="62514"/>
    <x v="0"/>
    <d v="1973-09-23T00:00:00"/>
    <x v="1"/>
    <s v="US Citizen"/>
    <d v="2010-04-26T00:00:00"/>
    <m/>
    <s v="N/A-StillEmployed"/>
    <x v="0"/>
    <x v="0"/>
    <s v="Ketsia Liebig"/>
    <n v="52"/>
    <n v="15"/>
  </r>
  <r>
    <s v="Eaton, Marianne"/>
    <n v="10064"/>
    <n v="0"/>
    <n v="60070"/>
    <x v="0"/>
    <d v="1991-09-05T00:00:00"/>
    <x v="1"/>
    <s v="US Citizen"/>
    <d v="2011-04-04T00:00:00"/>
    <d v="2017-06-06T00:00:00"/>
    <s v="military"/>
    <x v="1"/>
    <x v="0"/>
    <s v="Kissy Sullivan"/>
    <n v="34"/>
    <n v="6"/>
  </r>
  <r>
    <s v="Engdahl, Jean"/>
    <n v="10247"/>
    <n v="1"/>
    <n v="48888"/>
    <x v="0"/>
    <d v="1974-05-31T00:00:00"/>
    <x v="0"/>
    <s v="US Citizen"/>
    <d v="2014-11-10T00:00:00"/>
    <m/>
    <s v="N/A-StillEmployed"/>
    <x v="0"/>
    <x v="0"/>
    <s v="Kelley Spirea"/>
    <n v="51"/>
    <n v="11"/>
  </r>
  <r>
    <s v="England, Rex"/>
    <n v="10235"/>
    <n v="1"/>
    <n v="54285"/>
    <x v="0"/>
    <d v="1978-08-25T00:00:00"/>
    <x v="0"/>
    <s v="US Citizen"/>
    <d v="2014-03-31T00:00:00"/>
    <m/>
    <s v="N/A-StillEmployed"/>
    <x v="0"/>
    <x v="0"/>
    <s v="Kelley Spirea"/>
    <n v="47"/>
    <n v="11"/>
  </r>
  <r>
    <s v="Erilus, Angela"/>
    <n v="10299"/>
    <n v="0"/>
    <n v="56847"/>
    <x v="2"/>
    <d v="1989-08-25T00:00:00"/>
    <x v="1"/>
    <s v="US Citizen"/>
    <d v="2014-07-07T00:00:00"/>
    <m/>
    <s v="N/A-StillEmployed"/>
    <x v="0"/>
    <x v="0"/>
    <s v="Michael Albert"/>
    <n v="36"/>
    <n v="11"/>
  </r>
  <r>
    <s v="Estremera, Miguel"/>
    <n v="10280"/>
    <n v="1"/>
    <n v="60340"/>
    <x v="0"/>
    <d v="1983-09-02T00:00:00"/>
    <x v="0"/>
    <s v="US Citizen"/>
    <d v="2012-04-02T00:00:00"/>
    <d v="2018-09-27T00:00:00"/>
    <s v="attendance"/>
    <x v="2"/>
    <x v="0"/>
    <s v="Michael Albert"/>
    <n v="42"/>
    <n v="6"/>
  </r>
  <r>
    <s v="Evensen, April"/>
    <n v="10296"/>
    <n v="0"/>
    <n v="59124"/>
    <x v="0"/>
    <d v="1989-05-06T00:00:00"/>
    <x v="1"/>
    <s v="US Citizen"/>
    <d v="2014-02-17T00:00:00"/>
    <d v="2018-02-25T00:00:00"/>
    <s v="no-call, no-show"/>
    <x v="2"/>
    <x v="0"/>
    <s v="Elijiah Gray"/>
    <n v="36"/>
    <n v="4"/>
  </r>
  <r>
    <s v="Exantus, Susan"/>
    <n v="10290"/>
    <n v="0"/>
    <n v="99280"/>
    <x v="3"/>
    <d v="1987-05-15T00:00:00"/>
    <x v="1"/>
    <s v="US Citizen"/>
    <d v="2011-05-02T00:00:00"/>
    <d v="2013-06-05T00:00:00"/>
    <s v="attendance"/>
    <x v="2"/>
    <x v="2"/>
    <s v="Alex Sweetwater"/>
    <n v="38"/>
    <n v="2"/>
  </r>
  <r>
    <s v="Faller, Megan"/>
    <n v="10263"/>
    <n v="0"/>
    <n v="71776"/>
    <x v="2"/>
    <d v="1978-09-22T00:00:00"/>
    <x v="1"/>
    <s v="US Citizen"/>
    <d v="2014-07-07T00:00:00"/>
    <m/>
    <s v="N/A-StillEmployed"/>
    <x v="0"/>
    <x v="0"/>
    <s v="Elijiah Gray"/>
    <n v="47"/>
    <n v="11"/>
  </r>
  <r>
    <s v="Fancett, Nicole"/>
    <n v="10136"/>
    <n v="0"/>
    <n v="65902"/>
    <x v="2"/>
    <d v="1987-09-27T00:00:00"/>
    <x v="1"/>
    <s v="US Citizen"/>
    <d v="2014-02-17T00:00:00"/>
    <m/>
    <s v="N/A-StillEmployed"/>
    <x v="0"/>
    <x v="0"/>
    <s v="Webster Butler"/>
    <n v="38"/>
    <n v="11"/>
  </r>
  <r>
    <s v="Ferguson, Susan"/>
    <n v="10189"/>
    <n v="0"/>
    <n v="57748"/>
    <x v="0"/>
    <d v="1955-04-14T00:00:00"/>
    <x v="1"/>
    <s v="US Citizen"/>
    <d v="2011-11-07T00:00:00"/>
    <d v="2016-05-17T00:00:00"/>
    <s v="military"/>
    <x v="1"/>
    <x v="0"/>
    <s v="Webster Butler"/>
    <n v="70"/>
    <n v="4"/>
  </r>
  <r>
    <s v="Fernandes, Nilson"/>
    <n v="10308"/>
    <n v="1"/>
    <n v="64057"/>
    <x v="0"/>
    <d v="1989-10-18T00:00:00"/>
    <x v="0"/>
    <s v="US Citizen"/>
    <d v="2015-05-11T00:00:00"/>
    <m/>
    <s v="N/A-StillEmployed"/>
    <x v="0"/>
    <x v="0"/>
    <s v="Amy Dunn"/>
    <n v="36"/>
    <n v="10"/>
  </r>
  <r>
    <s v="Fett, Boba"/>
    <n v="10309"/>
    <n v="1"/>
    <n v="53366"/>
    <x v="19"/>
    <d v="1987-06-18T00:00:00"/>
    <x v="0"/>
    <s v="US Citizen"/>
    <d v="2015-03-30T00:00:00"/>
    <m/>
    <s v="N/A-StillEmployed"/>
    <x v="0"/>
    <x v="1"/>
    <s v="Peter Monroe"/>
    <n v="38"/>
    <n v="10"/>
  </r>
  <r>
    <s v="Fidelia,  Libby"/>
    <n v="10049"/>
    <n v="0"/>
    <n v="58530"/>
    <x v="0"/>
    <d v="1981-03-16T00:00:00"/>
    <x v="1"/>
    <s v="US Citizen"/>
    <d v="2012-01-09T00:00:00"/>
    <m/>
    <s v="N/A-StillEmployed"/>
    <x v="0"/>
    <x v="0"/>
    <s v="Brannon Miller"/>
    <n v="44"/>
    <n v="13"/>
  </r>
  <r>
    <s v="Fitzpatrick, Michael  J"/>
    <n v="10093"/>
    <n v="1"/>
    <n v="72609"/>
    <x v="2"/>
    <d v="1981-10-01T00:00:00"/>
    <x v="0"/>
    <s v="US Citizen"/>
    <d v="2011-05-16T00:00:00"/>
    <d v="2013-06-24T00:00:00"/>
    <s v="hours"/>
    <x v="1"/>
    <x v="0"/>
    <s v="Amy Dunn"/>
    <n v="44"/>
    <n v="2"/>
  </r>
  <r>
    <s v="Foreman, Tanya"/>
    <n v="10163"/>
    <n v="0"/>
    <n v="55965"/>
    <x v="2"/>
    <d v="1983-11-08T00:00:00"/>
    <x v="1"/>
    <s v="US Citizen"/>
    <d v="2011-04-04T00:00:00"/>
    <d v="2013-01-09T00:00:00"/>
    <s v="career change"/>
    <x v="1"/>
    <x v="0"/>
    <s v="Ketsia Liebig"/>
    <n v="42"/>
    <n v="1"/>
  </r>
  <r>
    <s v="Forrest, Alex"/>
    <n v="10305"/>
    <n v="1"/>
    <n v="70187"/>
    <x v="11"/>
    <d v="1975-07-07T00:00:00"/>
    <x v="0"/>
    <s v="US Citizen"/>
    <d v="2014-09-29T00:00:00"/>
    <d v="2018-08-19T00:00:00"/>
    <s v="Fatal attraction"/>
    <x v="2"/>
    <x v="4"/>
    <s v="Lynn Daneault"/>
    <n v="50"/>
    <n v="3"/>
  </r>
  <r>
    <s v="Foss, Jason"/>
    <n v="10015"/>
    <n v="1"/>
    <n v="178000"/>
    <x v="20"/>
    <d v="1980-07-05T00:00:00"/>
    <x v="0"/>
    <s v="US Citizen"/>
    <d v="2011-04-15T00:00:00"/>
    <m/>
    <s v="N/A-StillEmployed"/>
    <x v="0"/>
    <x v="1"/>
    <s v="Jennifer Zamora"/>
    <n v="45"/>
    <n v="14"/>
  </r>
  <r>
    <s v="Foster-Baker, Amy"/>
    <n v="10080"/>
    <n v="0"/>
    <n v="99351"/>
    <x v="8"/>
    <d v="1979-04-16T00:00:00"/>
    <x v="1"/>
    <s v="US Citizen"/>
    <d v="2009-01-05T00:00:00"/>
    <m/>
    <s v="N/A-StillEmployed"/>
    <x v="0"/>
    <x v="3"/>
    <s v="Board of Directors"/>
    <n v="46"/>
    <n v="16"/>
  </r>
  <r>
    <s v="Fraval, Maruk"/>
    <n v="10258"/>
    <n v="1"/>
    <n v="67251"/>
    <x v="11"/>
    <d v="1963-08-28T00:00:00"/>
    <x v="0"/>
    <s v="US Citizen"/>
    <d v="2011-09-06T00:00:00"/>
    <m/>
    <s v="N/A-StillEmployed"/>
    <x v="0"/>
    <x v="4"/>
    <s v="Lynn Daneault"/>
    <n v="62"/>
    <n v="14"/>
  </r>
  <r>
    <s v="Galia, Lisa"/>
    <n v="10273"/>
    <n v="0"/>
    <n v="65707"/>
    <x v="4"/>
    <d v="1968-07-06T00:00:00"/>
    <x v="1"/>
    <s v="US Citizen"/>
    <d v="2010-05-01T00:00:00"/>
    <m/>
    <s v="N/A-StillEmployed"/>
    <x v="0"/>
    <x v="1"/>
    <s v="Eric Dougall"/>
    <n v="57"/>
    <n v="15"/>
  </r>
  <r>
    <s v="Garcia, Raul"/>
    <n v="10111"/>
    <n v="1"/>
    <n v="52249"/>
    <x v="0"/>
    <d v="1985-09-15T00:00:00"/>
    <x v="0"/>
    <s v="US Citizen"/>
    <d v="2015-03-30T00:00:00"/>
    <m/>
    <s v="N/A-StillEmployed"/>
    <x v="0"/>
    <x v="0"/>
    <s v="David Stanley"/>
    <n v="40"/>
    <n v="10"/>
  </r>
  <r>
    <s v="Gaul, Barbara"/>
    <n v="10257"/>
    <n v="0"/>
    <n v="53171"/>
    <x v="0"/>
    <d v="1983-12-02T00:00:00"/>
    <x v="1"/>
    <s v="US Citizen"/>
    <d v="2011-05-16T00:00:00"/>
    <m/>
    <s v="N/A-StillEmployed"/>
    <x v="0"/>
    <x v="0"/>
    <s v="Kelley Spirea"/>
    <n v="41"/>
    <n v="14"/>
  </r>
  <r>
    <s v="Gentry, Mildred"/>
    <n v="10159"/>
    <n v="0"/>
    <n v="51337"/>
    <x v="0"/>
    <d v="1990-10-01T00:00:00"/>
    <x v="1"/>
    <s v="US Citizen"/>
    <d v="2015-03-30T00:00:00"/>
    <m/>
    <s v="N/A-StillEmployed"/>
    <x v="0"/>
    <x v="0"/>
    <s v="Michael Albert"/>
    <n v="35"/>
    <n v="10"/>
  </r>
  <r>
    <s v="Gerke, Melisa"/>
    <n v="10122"/>
    <n v="0"/>
    <n v="51505"/>
    <x v="0"/>
    <d v="1970-05-15T00:00:00"/>
    <x v="1"/>
    <s v="US Citizen"/>
    <d v="2011-11-07T00:00:00"/>
    <d v="2016-11-15T00:00:00"/>
    <s v="hours"/>
    <x v="1"/>
    <x v="0"/>
    <s v="Elijiah Gray"/>
    <n v="55"/>
    <n v="5"/>
  </r>
  <r>
    <s v="Gill, Whitney"/>
    <n v="10142"/>
    <n v="0"/>
    <n v="59370"/>
    <x v="11"/>
    <d v="1971-07-10T00:00:00"/>
    <x v="1"/>
    <s v="US Citizen"/>
    <d v="2014-07-07T00:00:00"/>
    <d v="2015-09-05T00:00:00"/>
    <s v="attendance"/>
    <x v="2"/>
    <x v="4"/>
    <s v="John Smith"/>
    <n v="54"/>
    <n v="1"/>
  </r>
  <r>
    <s v="Gilles, Alex"/>
    <n v="10283"/>
    <n v="1"/>
    <n v="54933"/>
    <x v="0"/>
    <d v="1974-08-09T00:00:00"/>
    <x v="0"/>
    <s v="US Citizen"/>
    <d v="2012-04-02T00:00:00"/>
    <d v="2015-06-25T00:00:00"/>
    <s v="military"/>
    <x v="1"/>
    <x v="0"/>
    <s v="Webster Butler"/>
    <n v="51"/>
    <n v="3"/>
  </r>
  <r>
    <s v="Girifalco, Evelyn"/>
    <n v="10018"/>
    <n v="0"/>
    <n v="57815"/>
    <x v="0"/>
    <d v="1980-05-08T00:00:00"/>
    <x v="1"/>
    <s v="US Citizen"/>
    <d v="2014-09-29T00:00:00"/>
    <m/>
    <s v="N/A-StillEmployed"/>
    <x v="0"/>
    <x v="0"/>
    <s v="Amy Dunn"/>
    <n v="45"/>
    <n v="11"/>
  </r>
  <r>
    <s v="Givens, Myriam"/>
    <n v="10255"/>
    <n v="0"/>
    <n v="61555"/>
    <x v="11"/>
    <d v="1989-09-22T00:00:00"/>
    <x v="1"/>
    <s v="US Citizen"/>
    <d v="2015-02-16T00:00:00"/>
    <m/>
    <s v="N/A-StillEmployed"/>
    <x v="0"/>
    <x v="4"/>
    <s v="Lynn Daneault"/>
    <n v="36"/>
    <n v="10"/>
  </r>
  <r>
    <s v="Goble, Taisha"/>
    <n v="10246"/>
    <n v="0"/>
    <n v="114800"/>
    <x v="6"/>
    <d v="1971-10-23T00:00:00"/>
    <x v="1"/>
    <s v="US Citizen"/>
    <d v="2015-02-16T00:00:00"/>
    <d v="2015-03-15T00:00:00"/>
    <s v="no-call, no-show"/>
    <x v="2"/>
    <x v="1"/>
    <s v="Simon Roup"/>
    <n v="54"/>
    <n v="0"/>
  </r>
  <r>
    <s v="Goeth, Amon"/>
    <n v="10228"/>
    <n v="1"/>
    <n v="74679"/>
    <x v="4"/>
    <d v="1989-11-24T00:00:00"/>
    <x v="0"/>
    <s v="US Citizen"/>
    <d v="2015-03-30T00:00:00"/>
    <m/>
    <s v="N/A-StillEmployed"/>
    <x v="0"/>
    <x v="1"/>
    <s v="Peter Monroe"/>
    <n v="36"/>
    <n v="10"/>
  </r>
  <r>
    <s v="Gold, Shenice"/>
    <n v="10243"/>
    <n v="0"/>
    <n v="53018"/>
    <x v="0"/>
    <d v="1992-06-18T00:00:00"/>
    <x v="1"/>
    <s v="US Citizen"/>
    <d v="2013-11-11T00:00:00"/>
    <m/>
    <s v="N/A-StillEmployed"/>
    <x v="0"/>
    <x v="0"/>
    <s v="Ketsia Liebig"/>
    <n v="33"/>
    <n v="12"/>
  </r>
  <r>
    <s v="Gonzalez, Cayo"/>
    <n v="10031"/>
    <n v="1"/>
    <n v="59892"/>
    <x v="0"/>
    <d v="1969-09-29T00:00:00"/>
    <x v="0"/>
    <s v="US Citizen"/>
    <d v="2011-07-11T00:00:00"/>
    <m/>
    <s v="N/A-StillEmployed"/>
    <x v="0"/>
    <x v="0"/>
    <s v="Brannon Miller"/>
    <n v="56"/>
    <n v="14"/>
  </r>
  <r>
    <s v="Gonzalez, Juan"/>
    <n v="10300"/>
    <n v="1"/>
    <n v="68898"/>
    <x v="2"/>
    <d v="1964-10-12T00:00:00"/>
    <x v="0"/>
    <s v="US Citizen"/>
    <d v="2010-04-26T00:00:00"/>
    <d v="2011-05-30T00:00:00"/>
    <s v="career change"/>
    <x v="1"/>
    <x v="0"/>
    <s v="Brannon Miller"/>
    <n v="61"/>
    <n v="1"/>
  </r>
  <r>
    <s v="Gonzalez, Maria"/>
    <n v="10101"/>
    <n v="0"/>
    <n v="61242"/>
    <x v="4"/>
    <d v="1981-04-16T00:00:00"/>
    <x v="1"/>
    <s v="US Citizen"/>
    <d v="2015-01-05T00:00:00"/>
    <m/>
    <s v="N/A-StillEmployed"/>
    <x v="0"/>
    <x v="1"/>
    <s v="Peter Monroe"/>
    <n v="44"/>
    <n v="10"/>
  </r>
  <r>
    <s v="Good, Susan"/>
    <n v="10237"/>
    <n v="0"/>
    <n v="66825"/>
    <x v="2"/>
    <d v="1986-05-25T00:00:00"/>
    <x v="1"/>
    <s v="US Citizen"/>
    <d v="2014-05-12T00:00:00"/>
    <m/>
    <s v="N/A-StillEmployed"/>
    <x v="0"/>
    <x v="0"/>
    <s v="David Stanley"/>
    <n v="39"/>
    <n v="11"/>
  </r>
  <r>
    <s v="Gordon, David"/>
    <n v="10051"/>
    <n v="1"/>
    <n v="48285"/>
    <x v="0"/>
    <d v="1979-05-21T00:00:00"/>
    <x v="0"/>
    <s v="US Citizen"/>
    <d v="2012-07-02T00:00:00"/>
    <m/>
    <s v="N/A-StillEmployed"/>
    <x v="0"/>
    <x v="0"/>
    <s v="David Stanley"/>
    <n v="46"/>
    <n v="13"/>
  </r>
  <r>
    <s v="Gosciminski, Phylicia"/>
    <n v="10218"/>
    <n v="0"/>
    <n v="66149"/>
    <x v="2"/>
    <d v="1983-12-08T00:00:00"/>
    <x v="1"/>
    <s v="US Citizen"/>
    <d v="2013-09-30T00:00:00"/>
    <m/>
    <s v="N/A-StillEmployed"/>
    <x v="0"/>
    <x v="0"/>
    <s v="Kissy Sullivan"/>
    <n v="41"/>
    <n v="12"/>
  </r>
  <r>
    <s v="Goyal, Roxana"/>
    <n v="10256"/>
    <n v="0"/>
    <n v="49256"/>
    <x v="0"/>
    <d v="1974-10-09T00:00:00"/>
    <x v="1"/>
    <s v="US Citizen"/>
    <d v="2013-08-19T00:00:00"/>
    <m/>
    <s v="N/A-StillEmployed"/>
    <x v="0"/>
    <x v="0"/>
    <s v="Kissy Sullivan"/>
    <n v="51"/>
    <n v="12"/>
  </r>
  <r>
    <s v="Gray, Elijiah"/>
    <n v="10098"/>
    <n v="1"/>
    <n v="62957"/>
    <x v="9"/>
    <d v="1981-07-11T00:00:00"/>
    <x v="0"/>
    <s v="US Citizen"/>
    <d v="2015-06-02T00:00:00"/>
    <m/>
    <s v="N/A-StillEmployed"/>
    <x v="0"/>
    <x v="0"/>
    <s v="Janet King"/>
    <n v="44"/>
    <n v="10"/>
  </r>
  <r>
    <s v="Gross, Paula"/>
    <n v="10059"/>
    <n v="0"/>
    <n v="63813"/>
    <x v="0"/>
    <d v="1983-05-21T00:00:00"/>
    <x v="1"/>
    <s v="US Citizen"/>
    <d v="2011-02-21T00:00:00"/>
    <d v="2014-01-11T00:00:00"/>
    <s v="more money"/>
    <x v="1"/>
    <x v="0"/>
    <s v="Kelley Spirea"/>
    <n v="42"/>
    <n v="2"/>
  </r>
  <r>
    <s v="Gruber, Hans"/>
    <n v="10234"/>
    <n v="1"/>
    <n v="99020"/>
    <x v="17"/>
    <d v="1989-06-30T00:00:00"/>
    <x v="0"/>
    <s v="US Citizen"/>
    <d v="2017-04-20T00:00:00"/>
    <m/>
    <s v="N/A-StillEmployed"/>
    <x v="0"/>
    <x v="1"/>
    <s v="Brian Champaigne"/>
    <n v="36"/>
    <n v="8"/>
  </r>
  <r>
    <s v="Guilianno, Mike"/>
    <n v="10109"/>
    <n v="1"/>
    <n v="71707"/>
    <x v="11"/>
    <d v="1969-02-09T00:00:00"/>
    <x v="0"/>
    <s v="US Citizen"/>
    <d v="2012-03-07T00:00:00"/>
    <d v="2014-10-31T00:00:00"/>
    <s v="relocation out of area"/>
    <x v="1"/>
    <x v="4"/>
    <s v="John Smith"/>
    <n v="56"/>
    <n v="2"/>
  </r>
  <r>
    <s v="Handschiegl, Joanne"/>
    <n v="10125"/>
    <n v="0"/>
    <n v="54828"/>
    <x v="0"/>
    <d v="1977-03-23T00:00:00"/>
    <x v="1"/>
    <s v="US Citizen"/>
    <d v="2011-11-28T00:00:00"/>
    <m/>
    <s v="N/A-StillEmployed"/>
    <x v="0"/>
    <x v="0"/>
    <s v="Michael Albert"/>
    <n v="48"/>
    <n v="14"/>
  </r>
  <r>
    <s v="Hankard, Earnest"/>
    <n v="10074"/>
    <n v="1"/>
    <n v="64246"/>
    <x v="2"/>
    <d v="1988-08-10T00:00:00"/>
    <x v="0"/>
    <s v="US Citizen"/>
    <d v="2013-11-11T00:00:00"/>
    <m/>
    <s v="N/A-StillEmployed"/>
    <x v="0"/>
    <x v="0"/>
    <s v="Kelley Spirea"/>
    <n v="37"/>
    <n v="12"/>
  </r>
  <r>
    <s v="Harrington, Christie"/>
    <n v="10097"/>
    <n v="0"/>
    <n v="52177"/>
    <x v="0"/>
    <d v="1952-08-18T00:00:00"/>
    <x v="1"/>
    <s v="US Citizen"/>
    <d v="2012-01-09T00:00:00"/>
    <d v="2015-12-15T00:00:00"/>
    <s v="retiring"/>
    <x v="1"/>
    <x v="0"/>
    <s v="Webster Butler"/>
    <n v="73"/>
    <n v="3"/>
  </r>
  <r>
    <s v="Harrison, Kara"/>
    <n v="10007"/>
    <n v="0"/>
    <n v="62065"/>
    <x v="0"/>
    <d v="1974-05-02T00:00:00"/>
    <x v="1"/>
    <s v="US Citizen"/>
    <d v="2014-05-12T00:00:00"/>
    <m/>
    <s v="N/A-StillEmployed"/>
    <x v="0"/>
    <x v="0"/>
    <s v="Amy Dunn"/>
    <n v="51"/>
    <n v="11"/>
  </r>
  <r>
    <s v="Heitzman, Anthony"/>
    <n v="10129"/>
    <n v="1"/>
    <n v="46998"/>
    <x v="0"/>
    <d v="1984-01-04T00:00:00"/>
    <x v="0"/>
    <s v="US Citizen"/>
    <d v="2012-08-13T00:00:00"/>
    <m/>
    <s v="N/A-StillEmployed"/>
    <x v="0"/>
    <x v="0"/>
    <s v="Ketsia Liebig"/>
    <n v="41"/>
    <n v="13"/>
  </r>
  <r>
    <s v="Hendrickson, Trina"/>
    <n v="10075"/>
    <n v="0"/>
    <n v="68099"/>
    <x v="2"/>
    <d v="1972-08-27T00:00:00"/>
    <x v="1"/>
    <s v="US Citizen"/>
    <d v="2011-01-10T00:00:00"/>
    <d v="2013-06-18T00:00:00"/>
    <s v="hours"/>
    <x v="1"/>
    <x v="0"/>
    <s v="Kelley Spirea"/>
    <n v="53"/>
    <n v="2"/>
  </r>
  <r>
    <s v="Hitchcock, Alfred"/>
    <n v="10167"/>
    <n v="1"/>
    <n v="70545"/>
    <x v="11"/>
    <d v="1988-09-14T00:00:00"/>
    <x v="0"/>
    <s v="US Citizen"/>
    <d v="2014-08-18T00:00:00"/>
    <m/>
    <s v="N/A-StillEmployed"/>
    <x v="0"/>
    <x v="4"/>
    <s v="John Smith"/>
    <n v="37"/>
    <n v="11"/>
  </r>
  <r>
    <s v="Homberger, Adrienne  J"/>
    <n v="10195"/>
    <n v="0"/>
    <n v="63478"/>
    <x v="2"/>
    <d v="1984-02-16T00:00:00"/>
    <x v="1"/>
    <s v="Non-Citizen"/>
    <d v="2011-08-15T00:00:00"/>
    <d v="2012-04-07T00:00:00"/>
    <s v="relocation out of area"/>
    <x v="1"/>
    <x v="0"/>
    <s v="Michael Albert"/>
    <n v="41"/>
    <n v="0"/>
  </r>
  <r>
    <s v="Horton, Jayne"/>
    <n v="10112"/>
    <n v="0"/>
    <n v="97999"/>
    <x v="6"/>
    <d v="1984-02-21T00:00:00"/>
    <x v="1"/>
    <s v="US Citizen"/>
    <d v="2015-03-30T00:00:00"/>
    <m/>
    <s v="N/A-StillEmployed"/>
    <x v="0"/>
    <x v="1"/>
    <s v="Simon Roup"/>
    <n v="41"/>
    <n v="10"/>
  </r>
  <r>
    <s v="Houlihan, Debra"/>
    <n v="10272"/>
    <n v="0"/>
    <n v="180000"/>
    <x v="21"/>
    <d v="1966-03-17T00:00:00"/>
    <x v="1"/>
    <s v="US Citizen"/>
    <d v="2014-05-05T00:00:00"/>
    <m/>
    <s v="N/A-StillEmployed"/>
    <x v="0"/>
    <x v="4"/>
    <s v="Janet King"/>
    <n v="59"/>
    <n v="11"/>
  </r>
  <r>
    <s v="Howard, Estelle"/>
    <n v="10182"/>
    <n v="0"/>
    <n v="49920"/>
    <x v="22"/>
    <d v="1985-09-16T00:00:00"/>
    <x v="1"/>
    <s v="US Citizen"/>
    <d v="2015-02-16T00:00:00"/>
    <d v="2015-04-15T00:00:00"/>
    <s v="no-call, no-show"/>
    <x v="2"/>
    <x v="3"/>
    <s v="Brandon R. LeBlanc"/>
    <n v="40"/>
    <n v="0"/>
  </r>
  <r>
    <s v="Hudson, Jane"/>
    <n v="10248"/>
    <n v="0"/>
    <n v="55425"/>
    <x v="0"/>
    <d v="1986-06-10T00:00:00"/>
    <x v="1"/>
    <s v="US Citizen"/>
    <d v="2012-02-20T00:00:00"/>
    <m/>
    <s v="N/A-StillEmployed"/>
    <x v="0"/>
    <x v="0"/>
    <s v="Ketsia Liebig"/>
    <n v="39"/>
    <n v="13"/>
  </r>
  <r>
    <s v="Hunts, Julissa"/>
    <n v="10201"/>
    <n v="0"/>
    <n v="69340"/>
    <x v="2"/>
    <d v="1984-03-11T00:00:00"/>
    <x v="1"/>
    <s v="US Citizen"/>
    <d v="2016-06-06T00:00:00"/>
    <m/>
    <s v="N/A-StillEmployed"/>
    <x v="0"/>
    <x v="0"/>
    <s v="Elijiah Gray"/>
    <n v="41"/>
    <n v="9"/>
  </r>
  <r>
    <s v="Hutter, Rosalie"/>
    <n v="10214"/>
    <n v="0"/>
    <n v="64995"/>
    <x v="2"/>
    <d v="1992-05-07T00:00:00"/>
    <x v="1"/>
    <s v="US Citizen"/>
    <d v="2015-06-05T00:00:00"/>
    <m/>
    <s v="N/A-StillEmployed"/>
    <x v="0"/>
    <x v="0"/>
    <s v="Webster Butler"/>
    <n v="33"/>
    <n v="10"/>
  </r>
  <r>
    <s v="Huynh, Ming"/>
    <n v="10160"/>
    <n v="0"/>
    <n v="68182"/>
    <x v="2"/>
    <d v="1976-09-22T00:00:00"/>
    <x v="1"/>
    <s v="US Citizen"/>
    <d v="2011-02-21T00:00:00"/>
    <d v="2013-04-01T00:00:00"/>
    <s v="unhappy"/>
    <x v="1"/>
    <x v="0"/>
    <s v="Amy Dunn"/>
    <n v="49"/>
    <n v="2"/>
  </r>
  <r>
    <s v="Immediato, Walter"/>
    <n v="10289"/>
    <n v="1"/>
    <n v="83082"/>
    <x v="9"/>
    <d v="1976-11-15T00:00:00"/>
    <x v="0"/>
    <s v="US Citizen"/>
    <d v="2011-02-21T00:00:00"/>
    <d v="2012-09-24T00:00:00"/>
    <s v="unhappy"/>
    <x v="1"/>
    <x v="0"/>
    <s v="Janet King"/>
    <n v="49"/>
    <n v="1"/>
  </r>
  <r>
    <s v="Ivey, Rose"/>
    <n v="10139"/>
    <n v="0"/>
    <n v="51908"/>
    <x v="0"/>
    <d v="1991-01-28T00:00:00"/>
    <x v="1"/>
    <s v="US Citizen"/>
    <d v="2013-08-19T00:00:00"/>
    <m/>
    <s v="N/A-StillEmployed"/>
    <x v="0"/>
    <x v="0"/>
    <s v="Brannon Miller"/>
    <n v="34"/>
    <n v="12"/>
  </r>
  <r>
    <s v="Jackson, Maryellen"/>
    <n v="10227"/>
    <n v="0"/>
    <n v="61242"/>
    <x v="0"/>
    <d v="1972-09-11T00:00:00"/>
    <x v="1"/>
    <s v="US Citizen"/>
    <d v="2012-11-05T00:00:00"/>
    <m/>
    <s v="N/A-StillEmployed"/>
    <x v="0"/>
    <x v="0"/>
    <s v="David Stanley"/>
    <n v="53"/>
    <n v="13"/>
  </r>
  <r>
    <s v="Jacobi, Hannah"/>
    <n v="10236"/>
    <n v="0"/>
    <n v="45069"/>
    <x v="0"/>
    <d v="1966-03-22T00:00:00"/>
    <x v="1"/>
    <s v="US Citizen"/>
    <d v="2013-09-30T00:00:00"/>
    <m/>
    <s v="N/A-StillEmployed"/>
    <x v="0"/>
    <x v="0"/>
    <s v="Kissy Sullivan"/>
    <n v="59"/>
    <n v="12"/>
  </r>
  <r>
    <s v="Jeannite, Tayana"/>
    <n v="10009"/>
    <n v="0"/>
    <n v="60724"/>
    <x v="2"/>
    <d v="1986-11-06T00:00:00"/>
    <x v="1"/>
    <s v="US Citizen"/>
    <d v="2011-07-05T00:00:00"/>
    <m/>
    <s v="N/A-StillEmployed"/>
    <x v="0"/>
    <x v="0"/>
    <s v="Ketsia Liebig"/>
    <n v="39"/>
    <n v="14"/>
  </r>
  <r>
    <s v="Jhaveri, Sneha"/>
    <n v="10060"/>
    <n v="0"/>
    <n v="60436"/>
    <x v="0"/>
    <d v="1964-04-13T00:00:00"/>
    <x v="1"/>
    <s v="US Citizen"/>
    <d v="2014-01-06T00:00:00"/>
    <m/>
    <s v="N/A-StillEmployed"/>
    <x v="0"/>
    <x v="0"/>
    <s v="Kelley Spirea"/>
    <n v="61"/>
    <n v="11"/>
  </r>
  <r>
    <s v="Johnson, George"/>
    <n v="10034"/>
    <n v="1"/>
    <n v="46837"/>
    <x v="0"/>
    <d v="1959-08-19T00:00:00"/>
    <x v="0"/>
    <s v="US Citizen"/>
    <d v="2011-11-07T00:00:00"/>
    <d v="2018-04-29T00:00:00"/>
    <s v="more money"/>
    <x v="1"/>
    <x v="0"/>
    <s v="Michael Albert"/>
    <n v="66"/>
    <n v="6"/>
  </r>
  <r>
    <s v="Johnson, Noelle"/>
    <n v="10156"/>
    <n v="0"/>
    <n v="105700"/>
    <x v="6"/>
    <d v="1986-11-07T00:00:00"/>
    <x v="1"/>
    <s v="US Citizen"/>
    <d v="2015-01-05T00:00:00"/>
    <m/>
    <s v="N/A-StillEmployed"/>
    <x v="0"/>
    <x v="1"/>
    <s v="Simon Roup"/>
    <n v="39"/>
    <n v="10"/>
  </r>
  <r>
    <s v="Johnston, Yen"/>
    <n v="10036"/>
    <n v="0"/>
    <n v="63322"/>
    <x v="2"/>
    <d v="1969-09-08T00:00:00"/>
    <x v="1"/>
    <s v="US Citizen"/>
    <d v="2014-07-07T00:00:00"/>
    <m/>
    <s v="N/A-StillEmployed"/>
    <x v="0"/>
    <x v="0"/>
    <s v="Brannon Miller"/>
    <n v="56"/>
    <n v="11"/>
  </r>
  <r>
    <s v="Jung, Judy"/>
    <n v="10138"/>
    <n v="0"/>
    <n v="61154"/>
    <x v="0"/>
    <d v="1986-04-17T00:00:00"/>
    <x v="1"/>
    <s v="US Citizen"/>
    <d v="2011-01-10T00:00:00"/>
    <d v="2016-04-01T00:00:00"/>
    <s v="unhappy"/>
    <x v="1"/>
    <x v="0"/>
    <s v="Elijiah Gray"/>
    <n v="39"/>
    <n v="5"/>
  </r>
  <r>
    <s v="Kampew, Donysha"/>
    <n v="10244"/>
    <n v="0"/>
    <n v="68999"/>
    <x v="16"/>
    <d v="1989-11-11T00:00:00"/>
    <x v="1"/>
    <s v="US Citizen"/>
    <d v="2011-11-07T00:00:00"/>
    <d v="2014-04-24T00:00:00"/>
    <s v="maternity leave - did not return"/>
    <x v="1"/>
    <x v="4"/>
    <s v="Debra Houlihan"/>
    <n v="36"/>
    <n v="2"/>
  </r>
  <r>
    <s v="Keatts, Kramer"/>
    <n v="10192"/>
    <n v="1"/>
    <n v="50482"/>
    <x v="0"/>
    <d v="1976-01-19T00:00:00"/>
    <x v="0"/>
    <s v="US Citizen"/>
    <d v="2013-09-30T00:00:00"/>
    <m/>
    <s v="N/A-StillEmployed"/>
    <x v="0"/>
    <x v="0"/>
    <s v="Michael Albert"/>
    <n v="49"/>
    <n v="12"/>
  </r>
  <r>
    <s v="Khemmich, Bartholemew"/>
    <n v="10231"/>
    <n v="1"/>
    <n v="65310"/>
    <x v="11"/>
    <d v="1979-11-27T00:00:00"/>
    <x v="0"/>
    <s v="US Citizen"/>
    <d v="2013-08-19T00:00:00"/>
    <m/>
    <s v="N/A-StillEmployed"/>
    <x v="0"/>
    <x v="4"/>
    <s v="Lynn Daneault"/>
    <n v="46"/>
    <n v="12"/>
  </r>
  <r>
    <s v="King, Janet"/>
    <n v="10089"/>
    <n v="0"/>
    <n v="250000"/>
    <x v="23"/>
    <d v="1954-09-21T00:00:00"/>
    <x v="1"/>
    <s v="US Citizen"/>
    <d v="2012-07-02T00:00:00"/>
    <m/>
    <s v="N/A-StillEmployed"/>
    <x v="0"/>
    <x v="5"/>
    <s v="Board of Directors"/>
    <n v="71"/>
    <n v="13"/>
  </r>
  <r>
    <s v="Kinsella, Kathleen"/>
    <n v="10166"/>
    <n v="0"/>
    <n v="54005"/>
    <x v="0"/>
    <d v="1973-12-08T00:00:00"/>
    <x v="1"/>
    <s v="US Citizen"/>
    <d v="2011-09-26T00:00:00"/>
    <d v="2015-06-04T00:00:00"/>
    <s v="more money"/>
    <x v="1"/>
    <x v="0"/>
    <s v="Webster Butler"/>
    <n v="51"/>
    <n v="3"/>
  </r>
  <r>
    <s v="Kirill, Alexandra"/>
    <n v="10170"/>
    <n v="0"/>
    <n v="45433"/>
    <x v="0"/>
    <d v="1970-10-08T00:00:00"/>
    <x v="1"/>
    <s v="US Citizen"/>
    <d v="2011-09-26T00:00:00"/>
    <d v="2014-01-09T00:00:00"/>
    <s v="more money"/>
    <x v="1"/>
    <x v="0"/>
    <s v="Amy Dunn"/>
    <n v="55"/>
    <n v="2"/>
  </r>
  <r>
    <s v="Knapp, Bradley  J"/>
    <n v="10208"/>
    <n v="1"/>
    <n v="46654"/>
    <x v="0"/>
    <d v="1977-11-10T00:00:00"/>
    <x v="0"/>
    <s v="US Citizen"/>
    <d v="2014-02-17T00:00:00"/>
    <m/>
    <s v="N/A-StillEmployed"/>
    <x v="0"/>
    <x v="0"/>
    <s v="Ketsia Liebig"/>
    <n v="48"/>
    <n v="11"/>
  </r>
  <r>
    <s v="Kretschmer, John"/>
    <n v="10176"/>
    <n v="1"/>
    <n v="63973"/>
    <x v="0"/>
    <d v="1980-02-02T00:00:00"/>
    <x v="0"/>
    <s v="US Citizen"/>
    <d v="2011-01-10T00:00:00"/>
    <m/>
    <s v="N/A-StillEmployed"/>
    <x v="0"/>
    <x v="0"/>
    <s v="Brannon Miller"/>
    <n v="45"/>
    <n v="14"/>
  </r>
  <r>
    <s v="Kreuger, Freddy"/>
    <n v="10165"/>
    <n v="1"/>
    <n v="71339"/>
    <x v="11"/>
    <d v="1969-02-24T00:00:00"/>
    <x v="0"/>
    <s v="US Citizen"/>
    <d v="2011-03-07T00:00:00"/>
    <m/>
    <s v="N/A-StillEmployed"/>
    <x v="0"/>
    <x v="4"/>
    <s v="John Smith"/>
    <n v="56"/>
    <n v="14"/>
  </r>
  <r>
    <s v="Lajiri,  Jyoti"/>
    <n v="10113"/>
    <n v="1"/>
    <n v="93206"/>
    <x v="15"/>
    <d v="1986-04-23T00:00:00"/>
    <x v="0"/>
    <s v="US Citizen"/>
    <d v="2014-11-10T00:00:00"/>
    <m/>
    <s v="N/A-StillEmployed"/>
    <x v="0"/>
    <x v="1"/>
    <s v="Peter Monroe"/>
    <n v="39"/>
    <n v="11"/>
  </r>
  <r>
    <s v="Landa, Hans"/>
    <n v="10092"/>
    <n v="1"/>
    <n v="82758"/>
    <x v="9"/>
    <d v="1972-07-01T00:00:00"/>
    <x v="0"/>
    <s v="US Citizen"/>
    <d v="2011-01-10T00:00:00"/>
    <d v="2015-12-12T00:00:00"/>
    <s v="attendance"/>
    <x v="2"/>
    <x v="0"/>
    <s v="Janet King"/>
    <n v="53"/>
    <n v="4"/>
  </r>
  <r>
    <s v="Langford, Lindsey"/>
    <n v="10106"/>
    <n v="0"/>
    <n v="66074"/>
    <x v="2"/>
    <d v="1979-07-25T00:00:00"/>
    <x v="1"/>
    <s v="US Citizen"/>
    <d v="2013-01-07T00:00:00"/>
    <d v="2014-03-31T00:00:00"/>
    <s v="Another position"/>
    <x v="1"/>
    <x v="0"/>
    <s v="David Stanley"/>
    <n v="46"/>
    <n v="1"/>
  </r>
  <r>
    <s v="Langton, Enrico"/>
    <n v="10052"/>
    <n v="1"/>
    <n v="46120"/>
    <x v="0"/>
    <d v="1986-12-09T00:00:00"/>
    <x v="0"/>
    <s v="US Citizen"/>
    <d v="2012-07-09T00:00:00"/>
    <m/>
    <s v="N/A-StillEmployed"/>
    <x v="0"/>
    <x v="0"/>
    <s v="David Stanley"/>
    <n v="38"/>
    <n v="13"/>
  </r>
  <r>
    <s v="LaRotonda, William"/>
    <n v="10038"/>
    <n v="1"/>
    <n v="64520"/>
    <x v="10"/>
    <d v="1984-04-26T00:00:00"/>
    <x v="0"/>
    <s v="US Citizen"/>
    <d v="2014-01-06T00:00:00"/>
    <m/>
    <s v="N/A-StillEmployed"/>
    <x v="0"/>
    <x v="3"/>
    <s v="Brandon R. LeBlanc"/>
    <n v="41"/>
    <n v="11"/>
  </r>
  <r>
    <s v="Latif, Mohammed"/>
    <n v="10249"/>
    <n v="1"/>
    <n v="61962"/>
    <x v="2"/>
    <d v="1984-05-09T00:00:00"/>
    <x v="0"/>
    <s v="US Citizen"/>
    <d v="2012-04-02T00:00:00"/>
    <d v="2013-04-15T00:00:00"/>
    <s v="more money"/>
    <x v="1"/>
    <x v="0"/>
    <s v="Kissy Sullivan"/>
    <n v="41"/>
    <n v="1"/>
  </r>
  <r>
    <s v="Le, Binh"/>
    <n v="10232"/>
    <n v="0"/>
    <n v="81584"/>
    <x v="24"/>
    <d v="1987-06-14T00:00:00"/>
    <x v="1"/>
    <s v="US Citizen"/>
    <d v="2016-10-02T00:00:00"/>
    <m/>
    <s v="N/A-StillEmployed"/>
    <x v="0"/>
    <x v="1"/>
    <s v="Brian Champaigne"/>
    <n v="38"/>
    <n v="9"/>
  </r>
  <r>
    <s v="Leach, Dallas"/>
    <n v="10087"/>
    <n v="0"/>
    <n v="63676"/>
    <x v="0"/>
    <d v="1979-01-17T00:00:00"/>
    <x v="1"/>
    <s v="US Citizen"/>
    <d v="2011-09-26T00:00:00"/>
    <d v="2018-08-19T00:00:00"/>
    <s v="return to school"/>
    <x v="1"/>
    <x v="0"/>
    <s v="Kissy Sullivan"/>
    <n v="46"/>
    <n v="6"/>
  </r>
  <r>
    <s v="LeBlanc, Brandon  R"/>
    <n v="10134"/>
    <n v="1"/>
    <n v="93046"/>
    <x v="25"/>
    <d v="1984-06-10T00:00:00"/>
    <x v="0"/>
    <s v="US Citizen"/>
    <d v="2016-01-05T00:00:00"/>
    <m/>
    <s v="N/A-StillEmployed"/>
    <x v="0"/>
    <x v="3"/>
    <s v="Janet King"/>
    <n v="41"/>
    <n v="9"/>
  </r>
  <r>
    <s v="Lecter, Hannibal"/>
    <n v="10251"/>
    <n v="1"/>
    <n v="64738"/>
    <x v="0"/>
    <d v="1982-09-02T00:00:00"/>
    <x v="0"/>
    <s v="US Citizen"/>
    <d v="2012-05-14T00:00:00"/>
    <m/>
    <s v="N/A-StillEmployed"/>
    <x v="0"/>
    <x v="0"/>
    <s v="Elijiah Gray"/>
    <n v="43"/>
    <n v="13"/>
  </r>
  <r>
    <s v="Leruth, Giovanni"/>
    <n v="10103"/>
    <n v="1"/>
    <n v="70468"/>
    <x v="11"/>
    <d v="1988-12-27T00:00:00"/>
    <x v="0"/>
    <s v="US Citizen"/>
    <d v="2012-04-30T00:00:00"/>
    <m/>
    <s v="N/A-StillEmployed"/>
    <x v="0"/>
    <x v="4"/>
    <s v="John Smith"/>
    <n v="36"/>
    <n v="13"/>
  </r>
  <r>
    <s v="Liebig, Ketsia"/>
    <n v="10017"/>
    <n v="0"/>
    <n v="77915"/>
    <x v="9"/>
    <d v="1981-10-26T00:00:00"/>
    <x v="1"/>
    <s v="US Citizen"/>
    <d v="2013-09-30T00:00:00"/>
    <m/>
    <s v="N/A-StillEmployed"/>
    <x v="0"/>
    <x v="0"/>
    <s v="Janet King"/>
    <n v="44"/>
    <n v="12"/>
  </r>
  <r>
    <s v="Linares, Marilyn"/>
    <n v="10186"/>
    <n v="0"/>
    <n v="52624"/>
    <x v="0"/>
    <d v="1981-03-26T00:00:00"/>
    <x v="1"/>
    <s v="US Citizen"/>
    <d v="2011-07-05T00:00:00"/>
    <d v="2018-09-26T00:00:00"/>
    <s v="unhappy"/>
    <x v="1"/>
    <x v="0"/>
    <s v="Michael Albert"/>
    <n v="44"/>
    <n v="7"/>
  </r>
  <r>
    <s v="Linden, Mathew"/>
    <n v="10137"/>
    <n v="1"/>
    <n v="63450"/>
    <x v="2"/>
    <d v="1979-03-19T00:00:00"/>
    <x v="0"/>
    <s v="US Citizen"/>
    <d v="2013-07-08T00:00:00"/>
    <m/>
    <s v="N/A-StillEmployed"/>
    <x v="0"/>
    <x v="0"/>
    <s v="Kelley Spirea"/>
    <n v="46"/>
    <n v="12"/>
  </r>
  <r>
    <s v="Lindsay, Leonara"/>
    <n v="10008"/>
    <n v="0"/>
    <n v="51777"/>
    <x v="4"/>
    <d v="1988-10-05T00:00:00"/>
    <x v="1"/>
    <s v="US Citizen"/>
    <d v="2011-01-21T00:00:00"/>
    <m/>
    <s v="N/A-StillEmployed"/>
    <x v="0"/>
    <x v="1"/>
    <s v="Eric Dougall"/>
    <n v="37"/>
    <n v="14"/>
  </r>
  <r>
    <s v="Lundy, Susan"/>
    <n v="10096"/>
    <n v="0"/>
    <n v="67237"/>
    <x v="2"/>
    <d v="1976-12-26T00:00:00"/>
    <x v="1"/>
    <s v="US Citizen"/>
    <d v="2013-07-08T00:00:00"/>
    <d v="2016-09-15T00:00:00"/>
    <s v="more money"/>
    <x v="1"/>
    <x v="0"/>
    <s v="Michael Albert"/>
    <n v="48"/>
    <n v="3"/>
  </r>
  <r>
    <s v="Lunquist, Lisa"/>
    <n v="10035"/>
    <n v="0"/>
    <n v="73330"/>
    <x v="2"/>
    <d v="1982-03-28T00:00:00"/>
    <x v="1"/>
    <s v="US Citizen"/>
    <d v="2013-08-19T00:00:00"/>
    <m/>
    <s v="N/A-StillEmployed"/>
    <x v="0"/>
    <x v="0"/>
    <s v="Elijiah Gray"/>
    <n v="43"/>
    <n v="12"/>
  </r>
  <r>
    <s v="Lydon, Allison"/>
    <n v="10057"/>
    <n v="0"/>
    <n v="52057"/>
    <x v="0"/>
    <d v="1975-10-22T00:00:00"/>
    <x v="1"/>
    <s v="US Citizen"/>
    <d v="2015-02-16T00:00:00"/>
    <m/>
    <s v="N/A-StillEmployed"/>
    <x v="0"/>
    <x v="0"/>
    <s v="Elijiah Gray"/>
    <n v="50"/>
    <n v="10"/>
  </r>
  <r>
    <s v="Lynch, Lindsay"/>
    <n v="10004"/>
    <n v="0"/>
    <n v="47434"/>
    <x v="0"/>
    <d v="1973-02-14T00:00:00"/>
    <x v="1"/>
    <s v="US Citizen"/>
    <d v="2011-11-07T00:00:00"/>
    <d v="2015-11-14T00:00:00"/>
    <s v="Another position"/>
    <x v="1"/>
    <x v="0"/>
    <s v="Webster Butler"/>
    <n v="52"/>
    <n v="4"/>
  </r>
  <r>
    <s v="MacLennan, Samuel"/>
    <n v="10191"/>
    <n v="1"/>
    <n v="52788"/>
    <x v="0"/>
    <d v="1972-11-09T00:00:00"/>
    <x v="0"/>
    <s v="US Citizen"/>
    <d v="2012-09-24T00:00:00"/>
    <d v="2017-09-26T00:00:00"/>
    <s v="hours"/>
    <x v="1"/>
    <x v="0"/>
    <s v="Amy Dunn"/>
    <n v="53"/>
    <n v="5"/>
  </r>
  <r>
    <s v="Mahoney, Lauren"/>
    <n v="10219"/>
    <n v="0"/>
    <n v="45395"/>
    <x v="0"/>
    <d v="1986-07-07T00:00:00"/>
    <x v="1"/>
    <s v="US Citizen"/>
    <d v="2014-01-06T00:00:00"/>
    <m/>
    <s v="N/A-StillEmployed"/>
    <x v="0"/>
    <x v="0"/>
    <s v="Ketsia Liebig"/>
    <n v="39"/>
    <n v="11"/>
  </r>
  <r>
    <s v="Manchester, Robyn"/>
    <n v="10077"/>
    <n v="0"/>
    <n v="62385"/>
    <x v="2"/>
    <d v="1976-08-25T00:00:00"/>
    <x v="1"/>
    <s v="US Citizen"/>
    <d v="2016-05-11T00:00:00"/>
    <m/>
    <s v="N/A-StillEmployed"/>
    <x v="0"/>
    <x v="0"/>
    <s v="Webster Butler"/>
    <n v="49"/>
    <n v="9"/>
  </r>
  <r>
    <s v="Mancuso, Karen"/>
    <n v="10073"/>
    <n v="0"/>
    <n v="68407"/>
    <x v="2"/>
    <d v="1986-12-10T00:00:00"/>
    <x v="1"/>
    <s v="US Citizen"/>
    <d v="2011-07-05T00:00:00"/>
    <d v="2012-08-19T00:00:00"/>
    <s v="Another position"/>
    <x v="1"/>
    <x v="0"/>
    <s v="Amy Dunn"/>
    <n v="38"/>
    <n v="1"/>
  </r>
  <r>
    <s v="Mangal, Debbie"/>
    <n v="10279"/>
    <n v="0"/>
    <n v="61349"/>
    <x v="0"/>
    <d v="1974-11-07T00:00:00"/>
    <x v="1"/>
    <s v="US Citizen"/>
    <d v="2013-11-11T00:00:00"/>
    <m/>
    <s v="N/A-StillEmployed"/>
    <x v="0"/>
    <x v="0"/>
    <s v="Brannon Miller"/>
    <n v="51"/>
    <n v="12"/>
  </r>
  <r>
    <s v="Martin, Sandra"/>
    <n v="10110"/>
    <n v="0"/>
    <n v="105688"/>
    <x v="3"/>
    <d v="1987-11-07T00:00:00"/>
    <x v="1"/>
    <s v="US Citizen"/>
    <d v="2013-11-11T00:00:00"/>
    <m/>
    <s v="N/A-StillEmployed"/>
    <x v="0"/>
    <x v="2"/>
    <s v="Alex Sweetwater"/>
    <n v="38"/>
    <n v="12"/>
  </r>
  <r>
    <s v="Maurice, Shana"/>
    <n v="10053"/>
    <n v="0"/>
    <n v="54132"/>
    <x v="0"/>
    <d v="1977-11-22T00:00:00"/>
    <x v="1"/>
    <s v="US Citizen"/>
    <d v="2011-05-31T00:00:00"/>
    <m/>
    <s v="N/A-StillEmployed"/>
    <x v="0"/>
    <x v="0"/>
    <s v="David Stanley"/>
    <n v="48"/>
    <n v="14"/>
  </r>
  <r>
    <s v="Carthy, B'rigit"/>
    <n v="10076"/>
    <n v="0"/>
    <n v="55315"/>
    <x v="2"/>
    <d v="1987-05-21T00:00:00"/>
    <x v="1"/>
    <s v="US Citizen"/>
    <d v="2015-03-30T00:00:00"/>
    <m/>
    <s v="N/A-StillEmployed"/>
    <x v="0"/>
    <x v="0"/>
    <s v="Ketsia Liebig"/>
    <n v="38"/>
    <n v="10"/>
  </r>
  <r>
    <s v="Mckenna, Sandy"/>
    <n v="10145"/>
    <n v="0"/>
    <n v="62810"/>
    <x v="0"/>
    <d v="1987-01-07T00:00:00"/>
    <x v="1"/>
    <s v="US Citizen"/>
    <d v="2013-01-07T00:00:00"/>
    <m/>
    <s v="N/A-StillEmployed"/>
    <x v="0"/>
    <x v="0"/>
    <s v="Kissy Sullivan"/>
    <n v="38"/>
    <n v="12"/>
  </r>
  <r>
    <s v="McKinzie, Jac"/>
    <n v="10202"/>
    <n v="1"/>
    <n v="63291"/>
    <x v="11"/>
    <d v="1984-07-01T00:00:00"/>
    <x v="0"/>
    <s v="US Citizen"/>
    <d v="2016-07-06T00:00:00"/>
    <m/>
    <s v="N/A-StillEmployed"/>
    <x v="0"/>
    <x v="4"/>
    <s v="Lynn Daneault"/>
    <n v="41"/>
    <n v="9"/>
  </r>
  <r>
    <s v="Meads, Elizabeth"/>
    <n v="10128"/>
    <n v="0"/>
    <n v="62659"/>
    <x v="0"/>
    <d v="1968-05-30T00:00:00"/>
    <x v="1"/>
    <s v="US Citizen"/>
    <d v="2012-04-02T00:00:00"/>
    <d v="2016-11-11T00:00:00"/>
    <s v="Another position"/>
    <x v="1"/>
    <x v="0"/>
    <s v="Kelley Spirea"/>
    <n v="57"/>
    <n v="4"/>
  </r>
  <r>
    <s v="Medeiros, Jennifer"/>
    <n v="10068"/>
    <n v="0"/>
    <n v="55688"/>
    <x v="0"/>
    <d v="1976-09-22T00:00:00"/>
    <x v="1"/>
    <s v="US Citizen"/>
    <d v="2015-03-30T00:00:00"/>
    <m/>
    <s v="N/A-StillEmployed"/>
    <x v="0"/>
    <x v="0"/>
    <s v="Michael Albert"/>
    <n v="49"/>
    <n v="10"/>
  </r>
  <r>
    <s v="Miller, Brannon"/>
    <n v="10116"/>
    <n v="1"/>
    <n v="83667"/>
    <x v="9"/>
    <d v="1981-08-10T00:00:00"/>
    <x v="0"/>
    <s v="US Citizen"/>
    <d v="2012-08-16T00:00:00"/>
    <m/>
    <s v="N/A-StillEmployed"/>
    <x v="0"/>
    <x v="0"/>
    <s v="Janet King"/>
    <n v="44"/>
    <n v="13"/>
  </r>
  <r>
    <s v="Miller, Ned"/>
    <n v="10298"/>
    <n v="1"/>
    <n v="55800"/>
    <x v="2"/>
    <d v="1985-06-29T00:00:00"/>
    <x v="0"/>
    <s v="US Citizen"/>
    <d v="2011-08-15T00:00:00"/>
    <d v="2014-09-04T00:00:00"/>
    <s v="unhappy"/>
    <x v="1"/>
    <x v="0"/>
    <s v="Brannon Miller"/>
    <n v="40"/>
    <n v="3"/>
  </r>
  <r>
    <s v="Monkfish, Erasumus"/>
    <n v="10213"/>
    <n v="1"/>
    <n v="58207"/>
    <x v="2"/>
    <d v="1992-08-17T00:00:00"/>
    <x v="0"/>
    <s v="US Citizen"/>
    <d v="2011-11-07T00:00:00"/>
    <m/>
    <s v="N/A-StillEmployed"/>
    <x v="0"/>
    <x v="0"/>
    <s v="David Stanley"/>
    <n v="33"/>
    <n v="14"/>
  </r>
  <r>
    <s v="Monroe, Peter"/>
    <n v="10288"/>
    <n v="1"/>
    <n v="157000"/>
    <x v="26"/>
    <d v="1986-10-05T00:00:00"/>
    <x v="0"/>
    <s v="Eligible NonCitizen"/>
    <d v="2012-02-15T00:00:00"/>
    <m/>
    <s v="N/A-StillEmployed"/>
    <x v="0"/>
    <x v="1"/>
    <s v="Jennifer Zamora"/>
    <n v="39"/>
    <n v="13"/>
  </r>
  <r>
    <s v="Monterro, Luisa"/>
    <n v="10025"/>
    <n v="0"/>
    <n v="72460"/>
    <x v="2"/>
    <d v="1970-04-24T00:00:00"/>
    <x v="1"/>
    <s v="US Citizen"/>
    <d v="2013-05-13T00:00:00"/>
    <m/>
    <s v="N/A-StillEmployed"/>
    <x v="0"/>
    <x v="0"/>
    <s v="Kissy Sullivan"/>
    <n v="55"/>
    <n v="12"/>
  </r>
  <r>
    <s v="Moran, Patrick"/>
    <n v="10223"/>
    <n v="1"/>
    <n v="72106"/>
    <x v="2"/>
    <d v="1976-12-03T00:00:00"/>
    <x v="0"/>
    <s v="US Citizen"/>
    <d v="2012-01-09T00:00:00"/>
    <m/>
    <s v="N/A-StillEmployed"/>
    <x v="0"/>
    <x v="0"/>
    <s v="Kelley Spirea"/>
    <n v="48"/>
    <n v="13"/>
  </r>
  <r>
    <s v="Morway, Tanya"/>
    <n v="10151"/>
    <n v="0"/>
    <n v="52599"/>
    <x v="19"/>
    <d v="1979-04-04T00:00:00"/>
    <x v="1"/>
    <s v="US Citizen"/>
    <d v="2015-02-16T00:00:00"/>
    <m/>
    <s v="N/A-StillEmployed"/>
    <x v="0"/>
    <x v="1"/>
    <s v="Peter Monroe"/>
    <n v="46"/>
    <n v="10"/>
  </r>
  <r>
    <s v="Motlagh,  Dawn"/>
    <n v="10254"/>
    <n v="0"/>
    <n v="63430"/>
    <x v="0"/>
    <d v="1984-07-07T00:00:00"/>
    <x v="1"/>
    <s v="US Citizen"/>
    <d v="2013-04-01T00:00:00"/>
    <m/>
    <s v="N/A-StillEmployed"/>
    <x v="0"/>
    <x v="0"/>
    <s v="Elijiah Gray"/>
    <n v="41"/>
    <n v="12"/>
  </r>
  <r>
    <s v="Moumanil, Maliki"/>
    <n v="10120"/>
    <n v="1"/>
    <n v="74417"/>
    <x v="2"/>
    <d v="1974-12-01T00:00:00"/>
    <x v="0"/>
    <s v="US Citizen"/>
    <d v="2013-05-13T00:00:00"/>
    <m/>
    <s v="N/A-StillEmployed"/>
    <x v="0"/>
    <x v="0"/>
    <s v="Michael Albert"/>
    <n v="50"/>
    <n v="12"/>
  </r>
  <r>
    <s v="Myers, Michael"/>
    <n v="10216"/>
    <n v="1"/>
    <n v="57575"/>
    <x v="0"/>
    <d v="1980-04-18T00:00:00"/>
    <x v="0"/>
    <s v="US Citizen"/>
    <d v="2013-07-08T00:00:00"/>
    <m/>
    <s v="N/A-StillEmployed"/>
    <x v="0"/>
    <x v="0"/>
    <s v="Kissy Sullivan"/>
    <n v="45"/>
    <n v="12"/>
  </r>
  <r>
    <s v="Navathe, Kurt"/>
    <n v="10079"/>
    <n v="1"/>
    <n v="87921"/>
    <x v="24"/>
    <d v="1970-04-25T00:00:00"/>
    <x v="0"/>
    <s v="US Citizen"/>
    <d v="2017-02-10T00:00:00"/>
    <m/>
    <s v="N/A-StillEmployed"/>
    <x v="0"/>
    <x v="1"/>
    <s v="Brian Champaigne"/>
    <n v="55"/>
    <n v="8"/>
  </r>
  <r>
    <s v="Ndzi, Colombui"/>
    <n v="10215"/>
    <n v="1"/>
    <n v="50470"/>
    <x v="0"/>
    <d v="1989-05-02T00:00:00"/>
    <x v="0"/>
    <s v="US Citizen"/>
    <d v="2011-09-26T00:00:00"/>
    <d v="2014-04-04T00:00:00"/>
    <s v="return to school"/>
    <x v="1"/>
    <x v="0"/>
    <s v="Webster Butler"/>
    <n v="36"/>
    <n v="2"/>
  </r>
  <r>
    <s v="Ndzi, Horia"/>
    <n v="10185"/>
    <n v="1"/>
    <n v="46664"/>
    <x v="0"/>
    <d v="1983-03-28T00:00:00"/>
    <x v="0"/>
    <s v="US Citizen"/>
    <d v="2013-04-01T00:00:00"/>
    <d v="2016-05-25T00:00:00"/>
    <s v="more money"/>
    <x v="1"/>
    <x v="0"/>
    <s v="Amy Dunn"/>
    <n v="42"/>
    <n v="3"/>
  </r>
  <r>
    <s v="Newman, Richard"/>
    <n v="10063"/>
    <n v="1"/>
    <n v="48495"/>
    <x v="0"/>
    <d v="1977-04-08T00:00:00"/>
    <x v="0"/>
    <s v="US Citizen"/>
    <d v="2014-05-12T00:00:00"/>
    <m/>
    <s v="N/A-StillEmployed"/>
    <x v="0"/>
    <x v="0"/>
    <s v="Ketsia Liebig"/>
    <n v="48"/>
    <n v="11"/>
  </r>
  <r>
    <s v="Ngodup, Shari"/>
    <n v="10037"/>
    <n v="0"/>
    <n v="52984"/>
    <x v="0"/>
    <d v="1967-06-03T00:00:00"/>
    <x v="1"/>
    <s v="US Citizen"/>
    <d v="2013-04-01T00:00:00"/>
    <m/>
    <s v="N/A-StillEmployed"/>
    <x v="0"/>
    <x v="0"/>
    <s v="Brannon Miller"/>
    <n v="58"/>
    <n v="12"/>
  </r>
  <r>
    <s v="Nguyen, Dheepa"/>
    <n v="10042"/>
    <n v="0"/>
    <n v="63695"/>
    <x v="11"/>
    <d v="1989-03-31T00:00:00"/>
    <x v="1"/>
    <s v="US Citizen"/>
    <d v="2013-07-08T00:00:00"/>
    <m/>
    <s v="N/A-StillEmployed"/>
    <x v="0"/>
    <x v="4"/>
    <s v="Lynn Daneault"/>
    <n v="36"/>
    <n v="12"/>
  </r>
  <r>
    <s v="Nguyen, Lei-Ming"/>
    <n v="10206"/>
    <n v="0"/>
    <n v="62061"/>
    <x v="0"/>
    <d v="1984-07-07T00:00:00"/>
    <x v="1"/>
    <s v="US Citizen"/>
    <d v="2013-07-08T00:00:00"/>
    <m/>
    <s v="N/A-StillEmployed"/>
    <x v="0"/>
    <x v="0"/>
    <s v="David Stanley"/>
    <n v="41"/>
    <n v="12"/>
  </r>
  <r>
    <s v="Nowlan, Kristie"/>
    <n v="10104"/>
    <n v="0"/>
    <n v="66738"/>
    <x v="2"/>
    <d v="1985-11-23T00:00:00"/>
    <x v="1"/>
    <s v="US Citizen"/>
    <d v="2014-11-10T00:00:00"/>
    <m/>
    <s v="N/A-StillEmployed"/>
    <x v="0"/>
    <x v="0"/>
    <s v="Elijiah Gray"/>
    <n v="40"/>
    <n v="11"/>
  </r>
  <r>
    <s v="O'hare, Lynn"/>
    <n v="10303"/>
    <n v="0"/>
    <n v="52674"/>
    <x v="0"/>
    <d v="1980-09-30T00:00:00"/>
    <x v="1"/>
    <s v="US Citizen"/>
    <d v="2014-03-31T00:00:00"/>
    <d v="2018-05-01T00:00:00"/>
    <s v="performance"/>
    <x v="2"/>
    <x v="0"/>
    <s v="Kissy Sullivan"/>
    <n v="45"/>
    <n v="4"/>
  </r>
  <r>
    <s v="Oliver, Brooke"/>
    <n v="10078"/>
    <n v="0"/>
    <n v="71966"/>
    <x v="2"/>
    <d v="1952-02-11T00:00:00"/>
    <x v="1"/>
    <s v="US Citizen"/>
    <d v="2012-05-14T00:00:00"/>
    <d v="2013-08-19T00:00:00"/>
    <s v="unhappy"/>
    <x v="1"/>
    <x v="0"/>
    <s v="Webster Butler"/>
    <n v="73"/>
    <n v="1"/>
  </r>
  <r>
    <s v="Onque, Jasmine"/>
    <n v="10121"/>
    <n v="0"/>
    <n v="63051"/>
    <x v="11"/>
    <d v="1990-05-11T00:00:00"/>
    <x v="1"/>
    <s v="US Citizen"/>
    <d v="2013-09-30T00:00:00"/>
    <m/>
    <s v="N/A-StillEmployed"/>
    <x v="0"/>
    <x v="4"/>
    <s v="Lynn Daneault"/>
    <n v="35"/>
    <n v="12"/>
  </r>
  <r>
    <s v="Osturnka, Adeel"/>
    <n v="10021"/>
    <n v="1"/>
    <n v="47414"/>
    <x v="0"/>
    <d v="1976-12-11T00:00:00"/>
    <x v="0"/>
    <s v="US Citizen"/>
    <d v="2013-09-30T00:00:00"/>
    <m/>
    <s v="N/A-StillEmployed"/>
    <x v="0"/>
    <x v="0"/>
    <s v="Kelley Spirea"/>
    <n v="48"/>
    <n v="12"/>
  </r>
  <r>
    <s v="Owad, Clinton"/>
    <n v="10281"/>
    <n v="1"/>
    <n v="53060"/>
    <x v="0"/>
    <d v="1979-11-24T00:00:00"/>
    <x v="0"/>
    <s v="US Citizen"/>
    <d v="2014-02-17T00:00:00"/>
    <m/>
    <s v="N/A-StillEmployed"/>
    <x v="0"/>
    <x v="0"/>
    <s v="Michael Albert"/>
    <n v="46"/>
    <n v="11"/>
  </r>
  <r>
    <s v="Ozark, Travis"/>
    <n v="10041"/>
    <n v="1"/>
    <n v="68829"/>
    <x v="11"/>
    <d v="1982-05-19T00:00:00"/>
    <x v="0"/>
    <s v="US Citizen"/>
    <d v="2015-01-05T00:00:00"/>
    <m/>
    <s v="N/A-StillEmployed"/>
    <x v="0"/>
    <x v="4"/>
    <s v="John Smith"/>
    <n v="43"/>
    <n v="10"/>
  </r>
  <r>
    <s v="Panjwani, Nina"/>
    <n v="10148"/>
    <n v="0"/>
    <n v="63515"/>
    <x v="0"/>
    <d v="1979-05-01T00:00:00"/>
    <x v="1"/>
    <s v="US Citizen"/>
    <d v="2011-02-07T00:00:00"/>
    <d v="2014-01-12T00:00:00"/>
    <s v="Another position"/>
    <x v="1"/>
    <x v="0"/>
    <s v="Elijiah Gray"/>
    <n v="46"/>
    <n v="2"/>
  </r>
  <r>
    <s v="Patronick, Lucas"/>
    <n v="10005"/>
    <n v="1"/>
    <n v="108987"/>
    <x v="3"/>
    <d v="1979-02-20T00:00:00"/>
    <x v="0"/>
    <s v="US Citizen"/>
    <d v="2011-11-07T00:00:00"/>
    <d v="2015-09-07T00:00:00"/>
    <s v="Another position"/>
    <x v="1"/>
    <x v="2"/>
    <s v="Alex Sweetwater"/>
    <n v="46"/>
    <n v="3"/>
  </r>
  <r>
    <s v="Pearson, Randall"/>
    <n v="10259"/>
    <n v="1"/>
    <n v="93093"/>
    <x v="5"/>
    <d v="1984-09-05T00:00:00"/>
    <x v="0"/>
    <s v="US Citizen"/>
    <d v="2014-12-01T00:00:00"/>
    <d v="2016-05-01T00:00:00"/>
    <s v="performance"/>
    <x v="1"/>
    <x v="1"/>
    <s v="Simon Roup"/>
    <n v="41"/>
    <n v="1"/>
  </r>
  <r>
    <s v="Smith, Martin"/>
    <n v="10286"/>
    <n v="1"/>
    <n v="53564"/>
    <x v="0"/>
    <d v="1988-03-17T00:00:00"/>
    <x v="0"/>
    <s v="US Citizen"/>
    <d v="2011-01-10T00:00:00"/>
    <d v="2017-12-28T00:00:00"/>
    <s v="career change"/>
    <x v="1"/>
    <x v="0"/>
    <s v="Webster Butler"/>
    <n v="37"/>
    <n v="6"/>
  </r>
  <r>
    <s v="Pelletier, Ermine"/>
    <n v="10297"/>
    <n v="0"/>
    <n v="60270"/>
    <x v="2"/>
    <d v="1989-07-18T00:00:00"/>
    <x v="1"/>
    <s v="US Citizen"/>
    <d v="2011-07-05T00:00:00"/>
    <d v="2015-09-15T00:00:00"/>
    <s v="unhappy"/>
    <x v="1"/>
    <x v="0"/>
    <s v="Amy Dunn"/>
    <n v="36"/>
    <n v="4"/>
  </r>
  <r>
    <s v="Perry, Shakira"/>
    <n v="10171"/>
    <n v="0"/>
    <n v="45998"/>
    <x v="0"/>
    <d v="1986-07-20T00:00:00"/>
    <x v="1"/>
    <s v="US Citizen"/>
    <d v="2011-05-16T00:00:00"/>
    <d v="2015-10-25T00:00:00"/>
    <s v="medical issues"/>
    <x v="1"/>
    <x v="0"/>
    <s v="Amy Dunn"/>
    <n v="39"/>
    <n v="4"/>
  </r>
  <r>
    <s v="Peters, Lauren"/>
    <n v="10032"/>
    <n v="0"/>
    <n v="57954"/>
    <x v="2"/>
    <d v="1986-08-17T00:00:00"/>
    <x v="1"/>
    <s v="US Citizen"/>
    <d v="2011-05-16T00:00:00"/>
    <d v="2013-02-04T00:00:00"/>
    <s v="more money"/>
    <x v="1"/>
    <x v="0"/>
    <s v="Ketsia Liebig"/>
    <n v="39"/>
    <n v="1"/>
  </r>
  <r>
    <s v="Peterson, Ebonee"/>
    <n v="10130"/>
    <n v="0"/>
    <n v="74669"/>
    <x v="9"/>
    <d v="1977-05-09T00:00:00"/>
    <x v="1"/>
    <s v="US Citizen"/>
    <d v="2010-10-25T00:00:00"/>
    <d v="2016-05-18T00:00:00"/>
    <s v="Another position"/>
    <x v="1"/>
    <x v="0"/>
    <s v="Janet King"/>
    <n v="48"/>
    <n v="5"/>
  </r>
  <r>
    <s v="Petingill, Shana"/>
    <n v="10217"/>
    <n v="0"/>
    <n v="74226"/>
    <x v="2"/>
    <d v="1979-03-10T00:00:00"/>
    <x v="1"/>
    <s v="Eligible NonCitizen"/>
    <d v="2012-04-02T00:00:00"/>
    <m/>
    <s v="N/A-StillEmployed"/>
    <x v="0"/>
    <x v="0"/>
    <s v="Brannon Miller"/>
    <n v="46"/>
    <n v="13"/>
  </r>
  <r>
    <s v="Petrowsky, Thelma"/>
    <n v="10016"/>
    <n v="0"/>
    <n v="93554"/>
    <x v="5"/>
    <d v="1984-09-16T00:00:00"/>
    <x v="1"/>
    <s v="US Citizen"/>
    <d v="2014-11-10T00:00:00"/>
    <m/>
    <s v="N/A-StillEmployed"/>
    <x v="0"/>
    <x v="1"/>
    <s v="Simon Roup"/>
    <n v="41"/>
    <n v="11"/>
  </r>
  <r>
    <s v="Pham, Hong"/>
    <n v="10050"/>
    <n v="1"/>
    <n v="64724"/>
    <x v="0"/>
    <d v="1988-03-06T00:00:00"/>
    <x v="0"/>
    <s v="US Citizen"/>
    <d v="2011-07-05T00:00:00"/>
    <d v="2012-11-30T00:00:00"/>
    <s v="more money"/>
    <x v="1"/>
    <x v="0"/>
    <s v="Brannon Miller"/>
    <n v="37"/>
    <n v="1"/>
  </r>
  <r>
    <s v="Pitt, Brad"/>
    <n v="10164"/>
    <n v="1"/>
    <n v="47001"/>
    <x v="0"/>
    <d v="1981-11-23T00:00:00"/>
    <x v="0"/>
    <s v="US Citizen"/>
    <d v="2007-11-05T00:00:00"/>
    <m/>
    <s v="N/A-StillEmployed"/>
    <x v="0"/>
    <x v="0"/>
    <s v="David Stanley"/>
    <n v="44"/>
    <n v="18"/>
  </r>
  <r>
    <s v="Potts, Xana"/>
    <n v="10124"/>
    <n v="0"/>
    <n v="61844"/>
    <x v="11"/>
    <d v="1988-08-29T00:00:00"/>
    <x v="1"/>
    <s v="US Citizen"/>
    <d v="2012-01-09T00:00:00"/>
    <m/>
    <s v="N/A-StillEmployed"/>
    <x v="0"/>
    <x v="4"/>
    <s v="Lynn Daneault"/>
    <n v="37"/>
    <n v="13"/>
  </r>
  <r>
    <s v="Power, Morissa"/>
    <n v="10187"/>
    <n v="0"/>
    <n v="46799"/>
    <x v="0"/>
    <d v="1984-10-15T00:00:00"/>
    <x v="1"/>
    <s v="Eligible NonCitizen"/>
    <d v="2011-05-16T00:00:00"/>
    <d v="2018-06-04T00:00:00"/>
    <s v="Another position"/>
    <x v="1"/>
    <x v="0"/>
    <s v="Kissy Sullivan"/>
    <n v="41"/>
    <n v="7"/>
  </r>
  <r>
    <s v="Punjabhi, Louis"/>
    <n v="10225"/>
    <n v="1"/>
    <n v="59472"/>
    <x v="0"/>
    <d v="1961-06-19T00:00:00"/>
    <x v="0"/>
    <s v="US Citizen"/>
    <d v="2014-01-06T00:00:00"/>
    <m/>
    <s v="N/A-StillEmployed"/>
    <x v="0"/>
    <x v="0"/>
    <s v="Kelley Spirea"/>
    <n v="64"/>
    <n v="11"/>
  </r>
  <r>
    <s v="Purinton, Janine"/>
    <n v="10262"/>
    <n v="0"/>
    <n v="46430"/>
    <x v="0"/>
    <d v="1970-09-22T00:00:00"/>
    <x v="1"/>
    <s v="US Citizen"/>
    <d v="2012-09-24T00:00:00"/>
    <d v="2013-06-18T00:00:00"/>
    <s v="unhappy"/>
    <x v="1"/>
    <x v="0"/>
    <s v="Kissy Sullivan"/>
    <n v="55"/>
    <n v="0"/>
  </r>
  <r>
    <s v="Quinn, Sean"/>
    <n v="10131"/>
    <n v="1"/>
    <n v="83363"/>
    <x v="3"/>
    <d v="1984-11-06T00:00:00"/>
    <x v="0"/>
    <s v="Eligible NonCitizen"/>
    <d v="2011-02-21T00:00:00"/>
    <d v="2015-08-15T00:00:00"/>
    <s v="career change"/>
    <x v="1"/>
    <x v="2"/>
    <s v="Janet King"/>
    <n v="41"/>
    <n v="4"/>
  </r>
  <r>
    <s v="Rachael, Maggie"/>
    <n v="10239"/>
    <n v="0"/>
    <n v="95920"/>
    <x v="17"/>
    <d v="1980-05-12T00:00:00"/>
    <x v="1"/>
    <s v="US Citizen"/>
    <d v="2016-10-02T00:00:00"/>
    <m/>
    <s v="N/A-StillEmployed"/>
    <x v="0"/>
    <x v="1"/>
    <s v="Brian Champaigne"/>
    <n v="45"/>
    <n v="9"/>
  </r>
  <r>
    <s v="Rarrick, Quinn"/>
    <n v="10152"/>
    <n v="1"/>
    <n v="61729"/>
    <x v="0"/>
    <d v="1984-12-31T00:00:00"/>
    <x v="0"/>
    <s v="US Citizen"/>
    <d v="2011-09-26T00:00:00"/>
    <d v="2018-04-07T00:00:00"/>
    <s v="more money"/>
    <x v="1"/>
    <x v="0"/>
    <s v="Michael Albert"/>
    <n v="40"/>
    <n v="6"/>
  </r>
  <r>
    <s v="Ren, Kylo"/>
    <n v="10140"/>
    <n v="1"/>
    <n v="61809"/>
    <x v="11"/>
    <d v="1954-10-12T00:00:00"/>
    <x v="0"/>
    <s v="US Citizen"/>
    <d v="2014-05-12T00:00:00"/>
    <m/>
    <s v="N/A-StillEmployed"/>
    <x v="0"/>
    <x v="4"/>
    <s v="John Smith"/>
    <n v="71"/>
    <n v="11"/>
  </r>
  <r>
    <s v="Rhoads, Thomas"/>
    <n v="10058"/>
    <n v="1"/>
    <n v="45115"/>
    <x v="0"/>
    <d v="1982-07-22T00:00:00"/>
    <x v="0"/>
    <s v="US Citizen"/>
    <d v="2011-05-16T00:00:00"/>
    <d v="2016-01-15T00:00:00"/>
    <s v="retiring"/>
    <x v="1"/>
    <x v="0"/>
    <s v="Elijiah Gray"/>
    <n v="43"/>
    <n v="4"/>
  </r>
  <r>
    <s v="Rivera, Haley"/>
    <n v="10011"/>
    <n v="0"/>
    <n v="46738"/>
    <x v="0"/>
    <d v="1973-01-12T00:00:00"/>
    <x v="1"/>
    <s v="US Citizen"/>
    <d v="2011-11-28T00:00:00"/>
    <m/>
    <s v="N/A-StillEmployed"/>
    <x v="0"/>
    <x v="0"/>
    <s v="Webster Butler"/>
    <n v="52"/>
    <n v="14"/>
  </r>
  <r>
    <s v="Roberson, May"/>
    <n v="10230"/>
    <n v="0"/>
    <n v="64971"/>
    <x v="2"/>
    <d v="1981-09-05T00:00:00"/>
    <x v="1"/>
    <s v="Eligible NonCitizen"/>
    <d v="2011-09-26T00:00:00"/>
    <d v="2011-10-22T00:00:00"/>
    <s v="return to school"/>
    <x v="1"/>
    <x v="0"/>
    <s v="David Stanley"/>
    <n v="44"/>
    <n v="0"/>
  </r>
  <r>
    <s v="Robertson, Peter"/>
    <n v="10224"/>
    <n v="1"/>
    <n v="55578"/>
    <x v="2"/>
    <d v="1972-07-03T00:00:00"/>
    <x v="0"/>
    <s v="US Citizen"/>
    <d v="2011-07-05T00:00:00"/>
    <d v="2012-02-08T00:00:00"/>
    <s v="Another position"/>
    <x v="1"/>
    <x v="0"/>
    <s v="Kissy Sullivan"/>
    <n v="53"/>
    <n v="0"/>
  </r>
  <r>
    <s v="Robinson, Alain"/>
    <n v="10047"/>
    <n v="1"/>
    <n v="50428"/>
    <x v="0"/>
    <d v="1974-01-07T00:00:00"/>
    <x v="0"/>
    <s v="US Citizen"/>
    <d v="2011-01-10T00:00:00"/>
    <d v="2016-01-26T00:00:00"/>
    <s v="attendance"/>
    <x v="1"/>
    <x v="0"/>
    <s v="Amy Dunn"/>
    <n v="51"/>
    <n v="5"/>
  </r>
  <r>
    <s v="Robinson, Cherly"/>
    <n v="10285"/>
    <n v="0"/>
    <n v="61422"/>
    <x v="0"/>
    <d v="1985-01-07T00:00:00"/>
    <x v="1"/>
    <s v="US Citizen"/>
    <d v="2011-01-10T00:00:00"/>
    <d v="2016-05-17T00:00:00"/>
    <s v="attendance"/>
    <x v="2"/>
    <x v="0"/>
    <s v="Ketsia Liebig"/>
    <n v="40"/>
    <n v="5"/>
  </r>
  <r>
    <s v="Robinson, Elias"/>
    <n v="10020"/>
    <n v="1"/>
    <n v="63353"/>
    <x v="0"/>
    <d v="1985-01-28T00:00:00"/>
    <x v="0"/>
    <s v="US Citizen"/>
    <d v="2013-07-08T00:00:00"/>
    <m/>
    <s v="N/A-StillEmployed"/>
    <x v="0"/>
    <x v="0"/>
    <s v="Brannon Miller"/>
    <n v="40"/>
    <n v="12"/>
  </r>
  <r>
    <s v="Roby, Lori"/>
    <n v="10162"/>
    <n v="0"/>
    <n v="89883"/>
    <x v="5"/>
    <d v="1981-10-11T00:00:00"/>
    <x v="1"/>
    <s v="US Citizen"/>
    <d v="2015-02-16T00:00:00"/>
    <m/>
    <s v="N/A-StillEmployed"/>
    <x v="0"/>
    <x v="1"/>
    <s v="Simon Roup"/>
    <n v="44"/>
    <n v="10"/>
  </r>
  <r>
    <s v="Roehrich, Bianca"/>
    <n v="10149"/>
    <n v="0"/>
    <n v="120000"/>
    <x v="27"/>
    <d v="1973-05-27T00:00:00"/>
    <x v="1"/>
    <s v="US Citizen"/>
    <d v="2015-01-05T00:00:00"/>
    <d v="2018-11-10T00:00:00"/>
    <s v="Another position"/>
    <x v="1"/>
    <x v="1"/>
    <s v="Simon Roup"/>
    <n v="52"/>
    <n v="3"/>
  </r>
  <r>
    <s v="Roper, Katie"/>
    <n v="10086"/>
    <n v="0"/>
    <n v="150290"/>
    <x v="28"/>
    <d v="1972-11-21T00:00:00"/>
    <x v="1"/>
    <s v="US Citizen"/>
    <d v="2017-01-07T00:00:00"/>
    <m/>
    <s v="N/A-StillEmployed"/>
    <x v="0"/>
    <x v="1"/>
    <s v="Brian Champaigne"/>
    <n v="53"/>
    <n v="8"/>
  </r>
  <r>
    <s v="Rose, Ashley"/>
    <n v="10054"/>
    <n v="0"/>
    <n v="60627"/>
    <x v="0"/>
    <d v="1974-12-05T00:00:00"/>
    <x v="1"/>
    <s v="US Citizen"/>
    <d v="2014-01-06T00:00:00"/>
    <m/>
    <s v="N/A-StillEmployed"/>
    <x v="0"/>
    <x v="0"/>
    <s v="David Stanley"/>
    <n v="50"/>
    <n v="11"/>
  </r>
  <r>
    <s v="Rossetti, Bruno"/>
    <n v="10065"/>
    <n v="1"/>
    <n v="53180"/>
    <x v="0"/>
    <d v="1987-03-18T00:00:00"/>
    <x v="0"/>
    <s v="US Citizen"/>
    <d v="2011-04-04T00:00:00"/>
    <d v="2018-08-13T00:00:00"/>
    <s v="Another position"/>
    <x v="1"/>
    <x v="0"/>
    <s v="Kissy Sullivan"/>
    <n v="38"/>
    <n v="7"/>
  </r>
  <r>
    <s v="Roup,Simon"/>
    <n v="10198"/>
    <n v="1"/>
    <n v="140920"/>
    <x v="29"/>
    <d v="1973-04-05T00:00:00"/>
    <x v="0"/>
    <s v="US Citizen"/>
    <d v="2013-01-20T00:00:00"/>
    <m/>
    <s v="N/A-StillEmployed"/>
    <x v="0"/>
    <x v="1"/>
    <s v="Jennifer Zamora"/>
    <n v="52"/>
    <n v="12"/>
  </r>
  <r>
    <s v="Ruiz, Ricardo"/>
    <n v="10222"/>
    <n v="1"/>
    <n v="148999"/>
    <x v="29"/>
    <d v="1964-01-04T00:00:00"/>
    <x v="0"/>
    <s v="US Citizen"/>
    <d v="2012-01-09T00:00:00"/>
    <d v="2015-11-04T00:00:00"/>
    <s v="hours"/>
    <x v="1"/>
    <x v="1"/>
    <s v="Jennifer Zamora"/>
    <n v="61"/>
    <n v="3"/>
  </r>
  <r>
    <s v="Saada, Adell"/>
    <n v="10126"/>
    <n v="0"/>
    <n v="86214"/>
    <x v="3"/>
    <d v="1986-07-24T00:00:00"/>
    <x v="1"/>
    <s v="US Citizen"/>
    <d v="2012-11-05T00:00:00"/>
    <m/>
    <s v="N/A-StillEmployed"/>
    <x v="0"/>
    <x v="2"/>
    <s v="Alex Sweetwater"/>
    <n v="39"/>
    <n v="13"/>
  </r>
  <r>
    <s v="Saar-Beckles, Melinda"/>
    <n v="10295"/>
    <n v="0"/>
    <n v="47750"/>
    <x v="0"/>
    <d v="1968-06-06T00:00:00"/>
    <x v="1"/>
    <s v="US Citizen"/>
    <d v="2016-07-04T00:00:00"/>
    <m/>
    <s v="N/A-StillEmployed"/>
    <x v="0"/>
    <x v="0"/>
    <s v="Kelley Spirea"/>
    <n v="57"/>
    <n v="9"/>
  </r>
  <r>
    <s v="Sadki, Nore"/>
    <n v="10260"/>
    <n v="1"/>
    <n v="46428"/>
    <x v="0"/>
    <d v="1974-12-21T00:00:00"/>
    <x v="0"/>
    <s v="US Citizen"/>
    <d v="2009-01-05T00:00:00"/>
    <d v="2018-07-30T00:00:00"/>
    <s v="relocation out of area"/>
    <x v="1"/>
    <x v="0"/>
    <s v="Michael Albert"/>
    <n v="50"/>
    <n v="9"/>
  </r>
  <r>
    <s v="Sahoo, Adil"/>
    <n v="10233"/>
    <n v="1"/>
    <n v="57975"/>
    <x v="2"/>
    <d v="1986-04-26T00:00:00"/>
    <x v="0"/>
    <s v="US Citizen"/>
    <d v="2010-08-30T00:00:00"/>
    <m/>
    <s v="N/A-StillEmployed"/>
    <x v="0"/>
    <x v="0"/>
    <s v="Kelley Spirea"/>
    <n v="39"/>
    <n v="15"/>
  </r>
  <r>
    <s v="Salter, Jason"/>
    <n v="10229"/>
    <n v="1"/>
    <n v="88527"/>
    <x v="5"/>
    <d v="1987-12-17T00:00:00"/>
    <x v="0"/>
    <s v="US Citizen"/>
    <d v="2015-01-05T00:00:00"/>
    <d v="2015-10-31T00:00:00"/>
    <s v="hours"/>
    <x v="1"/>
    <x v="1"/>
    <s v="Simon Roup"/>
    <n v="37"/>
    <n v="0"/>
  </r>
  <r>
    <s v="Sander, Kamrin"/>
    <n v="10169"/>
    <n v="0"/>
    <n v="56147"/>
    <x v="0"/>
    <d v="1988-07-10T00:00:00"/>
    <x v="1"/>
    <s v="US Citizen"/>
    <d v="2014-09-29T00:00:00"/>
    <m/>
    <s v="N/A-StillEmployed"/>
    <x v="0"/>
    <x v="0"/>
    <s v="Elijiah Gray"/>
    <n v="37"/>
    <n v="11"/>
  </r>
  <r>
    <s v="Sewkumar, Nori"/>
    <n v="10071"/>
    <n v="0"/>
    <n v="50923"/>
    <x v="0"/>
    <d v="1975-03-10T00:00:00"/>
    <x v="1"/>
    <s v="US Citizen"/>
    <d v="2013-09-30T00:00:00"/>
    <m/>
    <s v="N/A-StillEmployed"/>
    <x v="0"/>
    <x v="0"/>
    <s v="Webster Butler"/>
    <n v="50"/>
    <n v="12"/>
  </r>
  <r>
    <s v="Shepard, Anita"/>
    <n v="10179"/>
    <n v="0"/>
    <n v="50750"/>
    <x v="19"/>
    <d v="1981-04-14T00:00:00"/>
    <x v="1"/>
    <s v="US Citizen"/>
    <d v="2014-09-30T00:00:00"/>
    <m/>
    <s v="N/A-StillEmployed"/>
    <x v="0"/>
    <x v="1"/>
    <s v="Peter Monroe"/>
    <n v="44"/>
    <n v="11"/>
  </r>
  <r>
    <s v="Shields, Seffi"/>
    <n v="10091"/>
    <n v="0"/>
    <n v="52087"/>
    <x v="0"/>
    <d v="1985-08-24T00:00:00"/>
    <x v="1"/>
    <s v="US Citizen"/>
    <d v="2013-08-19T00:00:00"/>
    <m/>
    <s v="N/A-StillEmployed"/>
    <x v="0"/>
    <x v="0"/>
    <s v="Amy Dunn"/>
    <n v="40"/>
    <n v="12"/>
  </r>
  <r>
    <s v="Simard, Kramer"/>
    <n v="10178"/>
    <n v="1"/>
    <n v="87826"/>
    <x v="5"/>
    <d v="1970-02-08T00:00:00"/>
    <x v="0"/>
    <s v="US Citizen"/>
    <d v="2015-01-05T00:00:00"/>
    <m/>
    <s v="N/A-StillEmployed"/>
    <x v="0"/>
    <x v="1"/>
    <s v="Simon Roup"/>
    <n v="55"/>
    <n v="10"/>
  </r>
  <r>
    <s v="Singh, Nan"/>
    <n v="10039"/>
    <n v="0"/>
    <n v="51920"/>
    <x v="22"/>
    <d v="1988-05-19T00:00:00"/>
    <x v="1"/>
    <s v="US Citizen"/>
    <d v="2015-05-01T00:00:00"/>
    <m/>
    <s v="N/A-StillEmployed"/>
    <x v="0"/>
    <x v="3"/>
    <s v="Brandon R. LeBlanc"/>
    <n v="37"/>
    <n v="10"/>
  </r>
  <r>
    <s v="Sloan, Constance"/>
    <n v="10095"/>
    <n v="0"/>
    <n v="63878"/>
    <x v="2"/>
    <d v="1987-11-25T00:00:00"/>
    <x v="1"/>
    <s v="US Citizen"/>
    <d v="2009-10-26T00:00:00"/>
    <d v="2015-04-08T00:00:00"/>
    <s v="maternity leave - did not return"/>
    <x v="1"/>
    <x v="0"/>
    <s v="Michael Albert"/>
    <n v="38"/>
    <n v="5"/>
  </r>
  <r>
    <s v="Smith, Joe"/>
    <n v="10027"/>
    <n v="1"/>
    <n v="60656"/>
    <x v="2"/>
    <d v="1963-10-30T00:00:00"/>
    <x v="0"/>
    <s v="US Citizen"/>
    <d v="2014-09-29T00:00:00"/>
    <m/>
    <s v="N/A-StillEmployed"/>
    <x v="0"/>
    <x v="0"/>
    <s v="Elijiah Gray"/>
    <n v="62"/>
    <n v="11"/>
  </r>
  <r>
    <s v="Smith, John"/>
    <n v="10291"/>
    <n v="1"/>
    <n v="72992"/>
    <x v="16"/>
    <d v="1984-08-16T00:00:00"/>
    <x v="0"/>
    <s v="US Citizen"/>
    <d v="2014-05-18T00:00:00"/>
    <m/>
    <s v="N/A-StillEmployed"/>
    <x v="0"/>
    <x v="4"/>
    <s v="Debra Houlihan"/>
    <n v="41"/>
    <n v="11"/>
  </r>
  <r>
    <s v="Smith, Leigh Ann"/>
    <n v="10153"/>
    <n v="0"/>
    <n v="55000"/>
    <x v="22"/>
    <d v="1987-06-14T00:00:00"/>
    <x v="1"/>
    <s v="US Citizen"/>
    <d v="2011-09-26T00:00:00"/>
    <d v="2013-09-25T00:00:00"/>
    <s v="career change"/>
    <x v="1"/>
    <x v="3"/>
    <s v="Brandon R. LeBlanc"/>
    <n v="38"/>
    <n v="1"/>
  </r>
  <r>
    <s v="Smith, Sade"/>
    <n v="10157"/>
    <n v="0"/>
    <n v="58939"/>
    <x v="0"/>
    <d v="1965-02-02T00:00:00"/>
    <x v="1"/>
    <s v="US Citizen"/>
    <d v="2013-11-11T00:00:00"/>
    <m/>
    <s v="N/A-StillEmployed"/>
    <x v="0"/>
    <x v="0"/>
    <s v="Ketsia Liebig"/>
    <n v="60"/>
    <n v="12"/>
  </r>
  <r>
    <s v="Soto, Julia"/>
    <n v="10119"/>
    <n v="0"/>
    <n v="66593"/>
    <x v="4"/>
    <d v="1973-03-12T00:00:00"/>
    <x v="1"/>
    <s v="US Citizen"/>
    <d v="2011-06-10T00:00:00"/>
    <m/>
    <s v="N/A-StillEmployed"/>
    <x v="0"/>
    <x v="1"/>
    <s v="Eric Dougall"/>
    <n v="52"/>
    <n v="14"/>
  </r>
  <r>
    <s v="Soze, Keyser"/>
    <n v="10180"/>
    <n v="1"/>
    <n v="87565"/>
    <x v="15"/>
    <d v="1983-02-09T00:00:00"/>
    <x v="0"/>
    <s v="US Citizen"/>
    <d v="2016-06-30T00:00:00"/>
    <m/>
    <s v="N/A-StillEmployed"/>
    <x v="0"/>
    <x v="1"/>
    <s v="Peter Monroe"/>
    <n v="42"/>
    <n v="9"/>
  </r>
  <r>
    <s v="Sparks, Taylor"/>
    <n v="10302"/>
    <n v="0"/>
    <n v="64021"/>
    <x v="0"/>
    <d v="1968-07-20T00:00:00"/>
    <x v="1"/>
    <s v="US Citizen"/>
    <d v="2012-02-20T00:00:00"/>
    <m/>
    <s v="N/A-StillEmployed"/>
    <x v="0"/>
    <x v="0"/>
    <s v="Brannon Miller"/>
    <n v="57"/>
    <n v="13"/>
  </r>
  <r>
    <s v="Spirea, Kelley"/>
    <n v="10090"/>
    <n v="0"/>
    <n v="65714"/>
    <x v="9"/>
    <d v="1975-09-30T00:00:00"/>
    <x v="1"/>
    <s v="US Citizen"/>
    <d v="2012-10-02T00:00:00"/>
    <m/>
    <s v="N/A-StillEmployed"/>
    <x v="0"/>
    <x v="0"/>
    <s v="Janet King"/>
    <n v="50"/>
    <n v="13"/>
  </r>
  <r>
    <s v="Squatrito, Kristen"/>
    <n v="10030"/>
    <n v="0"/>
    <n v="62425"/>
    <x v="0"/>
    <d v="1973-03-26T00:00:00"/>
    <x v="1"/>
    <s v="US Citizen"/>
    <d v="2013-05-13T00:00:00"/>
    <d v="2015-06-29T00:00:00"/>
    <s v="unhappy"/>
    <x v="1"/>
    <x v="0"/>
    <s v="David Stanley"/>
    <n v="52"/>
    <n v="2"/>
  </r>
  <r>
    <s v="Stanford,Barbara  M"/>
    <n v="10278"/>
    <n v="0"/>
    <n v="47961"/>
    <x v="0"/>
    <d v="1982-08-25T00:00:00"/>
    <x v="1"/>
    <s v="US Citizen"/>
    <d v="2011-01-10T00:00:00"/>
    <m/>
    <s v="N/A-StillEmployed"/>
    <x v="0"/>
    <x v="0"/>
    <s v="Kissy Sullivan"/>
    <n v="43"/>
    <n v="14"/>
  </r>
  <r>
    <s v="Stansfield, Norman"/>
    <n v="10307"/>
    <n v="1"/>
    <n v="58273"/>
    <x v="11"/>
    <d v="1974-05-09T00:00:00"/>
    <x v="0"/>
    <s v="US Citizen"/>
    <d v="2014-05-12T00:00:00"/>
    <m/>
    <s v="N/A-StillEmployed"/>
    <x v="0"/>
    <x v="4"/>
    <s v="Lynn Daneault"/>
    <n v="51"/>
    <n v="11"/>
  </r>
  <r>
    <s v="Steans, Tyrone"/>
    <n v="10147"/>
    <n v="1"/>
    <n v="63003"/>
    <x v="10"/>
    <d v="1986-09-01T00:00:00"/>
    <x v="0"/>
    <s v="US Citizen"/>
    <d v="2014-09-29T00:00:00"/>
    <m/>
    <s v="N/A-StillEmployed"/>
    <x v="0"/>
    <x v="3"/>
    <s v="Brandon R. LeBlanc"/>
    <n v="39"/>
    <n v="11"/>
  </r>
  <r>
    <s v="Stoica, Rick"/>
    <n v="10266"/>
    <n v="1"/>
    <n v="61355"/>
    <x v="0"/>
    <d v="1985-03-14T00:00:00"/>
    <x v="0"/>
    <s v="US Citizen"/>
    <d v="2014-02-17T00:00:00"/>
    <m/>
    <s v="N/A-StillEmployed"/>
    <x v="0"/>
    <x v="0"/>
    <s v="Kelley Spirea"/>
    <n v="40"/>
    <n v="11"/>
  </r>
  <r>
    <s v="Strong, Caitrin"/>
    <n v="10241"/>
    <n v="0"/>
    <n v="60120"/>
    <x v="11"/>
    <d v="1989-05-12T00:00:00"/>
    <x v="1"/>
    <s v="US Citizen"/>
    <d v="2010-09-27T00:00:00"/>
    <m/>
    <s v="N/A-StillEmployed"/>
    <x v="0"/>
    <x v="4"/>
    <s v="John Smith"/>
    <n v="36"/>
    <n v="15"/>
  </r>
  <r>
    <s v="Sullivan, Kissy"/>
    <n v="10158"/>
    <n v="0"/>
    <n v="63682"/>
    <x v="9"/>
    <d v="1978-03-28T00:00:00"/>
    <x v="1"/>
    <s v="US Citizen"/>
    <d v="2009-01-08T00:00:00"/>
    <m/>
    <s v="N/A-StillEmployed"/>
    <x v="0"/>
    <x v="0"/>
    <s v="Janet King"/>
    <n v="47"/>
    <n v="16"/>
  </r>
  <r>
    <s v="Sullivan, Timothy"/>
    <n v="10117"/>
    <n v="1"/>
    <n v="63025"/>
    <x v="0"/>
    <d v="1982-10-07T00:00:00"/>
    <x v="0"/>
    <s v="US Citizen"/>
    <d v="2015-01-05T00:00:00"/>
    <m/>
    <s v="N/A-StillEmployed"/>
    <x v="0"/>
    <x v="0"/>
    <s v="Michael Albert"/>
    <n v="43"/>
    <n v="10"/>
  </r>
  <r>
    <s v="Sutwell, Barbara"/>
    <n v="10209"/>
    <n v="0"/>
    <n v="59238"/>
    <x v="0"/>
    <d v="1968-08-15T00:00:00"/>
    <x v="1"/>
    <s v="Eligible NonCitizen"/>
    <d v="2012-05-14T00:00:00"/>
    <m/>
    <s v="N/A-StillEmployed"/>
    <x v="0"/>
    <x v="0"/>
    <s v="Elijiah Gray"/>
    <n v="57"/>
    <n v="13"/>
  </r>
  <r>
    <s v="Szabo, Andrew"/>
    <n v="10024"/>
    <n v="1"/>
    <n v="92989"/>
    <x v="3"/>
    <d v="1983-05-06T00:00:00"/>
    <x v="0"/>
    <s v="US Citizen"/>
    <d v="2014-07-07T00:00:00"/>
    <m/>
    <s v="N/A-StillEmployed"/>
    <x v="0"/>
    <x v="2"/>
    <s v="Alex Sweetwater"/>
    <n v="42"/>
    <n v="11"/>
  </r>
  <r>
    <s v="Tannen, Biff"/>
    <n v="10173"/>
    <n v="1"/>
    <n v="90100"/>
    <x v="17"/>
    <d v="1987-10-24T00:00:00"/>
    <x v="0"/>
    <s v="US Citizen"/>
    <d v="2017-04-20T00:00:00"/>
    <m/>
    <s v="N/A-StillEmployed"/>
    <x v="0"/>
    <x v="1"/>
    <s v="Brian Champaigne"/>
    <n v="38"/>
    <n v="8"/>
  </r>
  <r>
    <s v="Tavares, Desiree"/>
    <n v="10221"/>
    <n v="0"/>
    <n v="60754"/>
    <x v="0"/>
    <d v="1975-04-03T00:00:00"/>
    <x v="1"/>
    <s v="Non-Citizen"/>
    <d v="2009-04-27T00:00:00"/>
    <d v="2013-04-01T00:00:00"/>
    <s v="Another position"/>
    <x v="1"/>
    <x v="0"/>
    <s v="Webster Butler"/>
    <n v="50"/>
    <n v="3"/>
  </r>
  <r>
    <s v="Tejeda, Lenora"/>
    <n v="10146"/>
    <n v="0"/>
    <n v="72202"/>
    <x v="2"/>
    <d v="1953-05-24T00:00:00"/>
    <x v="1"/>
    <s v="US Citizen"/>
    <d v="2011-05-16T00:00:00"/>
    <d v="2017-07-08T00:00:00"/>
    <s v="Another position"/>
    <x v="1"/>
    <x v="0"/>
    <s v="Elijiah Gray"/>
    <n v="72"/>
    <n v="6"/>
  </r>
  <r>
    <s v="Terry, Sharlene"/>
    <n v="10161"/>
    <n v="0"/>
    <n v="58370"/>
    <x v="11"/>
    <d v="1965-05-07T00:00:00"/>
    <x v="1"/>
    <s v="US Citizen"/>
    <d v="2014-09-29T00:00:00"/>
    <m/>
    <s v="N/A-StillEmployed"/>
    <x v="0"/>
    <x v="4"/>
    <s v="Lynn Daneault"/>
    <n v="60"/>
    <n v="11"/>
  </r>
  <r>
    <s v="Theamstern, Sophia"/>
    <n v="10141"/>
    <n v="0"/>
    <n v="48413"/>
    <x v="0"/>
    <d v="1965-05-09T00:00:00"/>
    <x v="1"/>
    <s v="US Citizen"/>
    <d v="2011-07-05T00:00:00"/>
    <d v="2016-09-05T00:00:00"/>
    <s v="return to school"/>
    <x v="1"/>
    <x v="0"/>
    <s v="Amy Dunn"/>
    <n v="60"/>
    <n v="5"/>
  </r>
  <r>
    <s v="Thibaud, Kenneth"/>
    <n v="10268"/>
    <n v="1"/>
    <n v="67176"/>
    <x v="2"/>
    <d v="1975-09-16T00:00:00"/>
    <x v="0"/>
    <s v="US Citizen"/>
    <d v="2007-06-25T00:00:00"/>
    <d v="2010-08-30T00:00:00"/>
    <s v="military"/>
    <x v="1"/>
    <x v="0"/>
    <s v="Webster Butler"/>
    <n v="50"/>
    <n v="3"/>
  </r>
  <r>
    <s v="Tippett, Jeanette"/>
    <n v="10123"/>
    <n v="0"/>
    <n v="56339"/>
    <x v="0"/>
    <d v="1967-06-05T00:00:00"/>
    <x v="1"/>
    <s v="US Citizen"/>
    <d v="2013-02-18T00:00:00"/>
    <m/>
    <s v="N/A-StillEmployed"/>
    <x v="0"/>
    <x v="0"/>
    <s v="Brannon Miller"/>
    <n v="58"/>
    <n v="12"/>
  </r>
  <r>
    <s v="Torrence, Jack"/>
    <n v="10013"/>
    <n v="1"/>
    <n v="64397"/>
    <x v="11"/>
    <d v="1968-01-15T00:00:00"/>
    <x v="0"/>
    <s v="US Citizen"/>
    <d v="2006-01-09T00:00:00"/>
    <m/>
    <s v="N/A-StillEmployed"/>
    <x v="0"/>
    <x v="4"/>
    <s v="Lynn Daneault"/>
    <n v="57"/>
    <n v="19"/>
  </r>
  <r>
    <s v="Trang, Mei"/>
    <n v="10287"/>
    <n v="0"/>
    <n v="63025"/>
    <x v="0"/>
    <d v="1983-05-16T00:00:00"/>
    <x v="1"/>
    <s v="US Citizen"/>
    <d v="2014-02-17T00:00:00"/>
    <m/>
    <s v="N/A-StillEmployed"/>
    <x v="0"/>
    <x v="0"/>
    <s v="David Stanley"/>
    <n v="42"/>
    <n v="11"/>
  </r>
  <r>
    <s v="Tredinnick, Neville"/>
    <n v="10044"/>
    <n v="1"/>
    <n v="75281"/>
    <x v="19"/>
    <d v="1988-05-05T00:00:00"/>
    <x v="0"/>
    <s v="US Citizen"/>
    <d v="2015-01-05T00:00:00"/>
    <d v="2016-02-12T00:00:00"/>
    <s v="medical issues"/>
    <x v="1"/>
    <x v="1"/>
    <s v="Peter Monroe"/>
    <n v="37"/>
    <n v="1"/>
  </r>
  <r>
    <s v="True, Edward"/>
    <n v="10102"/>
    <n v="1"/>
    <n v="100416"/>
    <x v="3"/>
    <d v="1983-06-14T00:00:00"/>
    <x v="0"/>
    <s v="Non-Citizen"/>
    <d v="2013-02-18T00:00:00"/>
    <d v="2018-04-15T00:00:00"/>
    <s v="medical issues"/>
    <x v="1"/>
    <x v="2"/>
    <s v="Alex Sweetwater"/>
    <n v="42"/>
    <n v="5"/>
  </r>
  <r>
    <s v="Trzeciak, Cybil"/>
    <n v="10270"/>
    <n v="0"/>
    <n v="74813"/>
    <x v="2"/>
    <d v="1985-03-15T00:00:00"/>
    <x v="1"/>
    <s v="US Citizen"/>
    <d v="2011-01-10T00:00:00"/>
    <d v="2014-07-02T00:00:00"/>
    <s v="unhappy"/>
    <x v="1"/>
    <x v="0"/>
    <s v="Amy Dunn"/>
    <n v="40"/>
    <n v="3"/>
  </r>
  <r>
    <s v="Turpin, Jumil"/>
    <n v="10045"/>
    <n v="1"/>
    <n v="76029"/>
    <x v="19"/>
    <d v="1969-03-31T00:00:00"/>
    <x v="0"/>
    <s v="Eligible NonCitizen"/>
    <d v="2015-03-30T00:00:00"/>
    <m/>
    <s v="N/A-StillEmployed"/>
    <x v="0"/>
    <x v="1"/>
    <s v="Peter Monroe"/>
    <n v="56"/>
    <n v="10"/>
  </r>
  <r>
    <s v="Valentin,Jackie"/>
    <n v="10205"/>
    <n v="0"/>
    <n v="57859"/>
    <x v="11"/>
    <d v="1991-05-23T00:00:00"/>
    <x v="1"/>
    <s v="US Citizen"/>
    <d v="2011-07-05T00:00:00"/>
    <m/>
    <s v="N/A-StillEmployed"/>
    <x v="0"/>
    <x v="4"/>
    <s v="John Smith"/>
    <n v="34"/>
    <n v="14"/>
  </r>
  <r>
    <s v="Veera, Abdellah"/>
    <n v="10014"/>
    <n v="1"/>
    <n v="58523"/>
    <x v="0"/>
    <d v="1987-01-31T00:00:00"/>
    <x v="0"/>
    <s v="US Citizen"/>
    <d v="2012-08-13T00:00:00"/>
    <d v="2016-02-05T00:00:00"/>
    <s v="maternity leave - did not return"/>
    <x v="1"/>
    <x v="0"/>
    <s v="Kissy Sullivan"/>
    <n v="38"/>
    <n v="3"/>
  </r>
  <r>
    <s v="Vega, Vincent"/>
    <n v="10144"/>
    <n v="1"/>
    <n v="88976"/>
    <x v="9"/>
    <d v="1968-10-10T00:00:00"/>
    <x v="0"/>
    <s v="US Citizen"/>
    <d v="2011-08-01T00:00:00"/>
    <m/>
    <s v="N/A-StillEmployed"/>
    <x v="0"/>
    <x v="0"/>
    <s v="Janet King"/>
    <n v="57"/>
    <n v="14"/>
  </r>
  <r>
    <s v="Villanueva, Noah"/>
    <n v="10253"/>
    <n v="1"/>
    <n v="55875"/>
    <x v="11"/>
    <d v="1989-07-11T00:00:00"/>
    <x v="0"/>
    <s v="US Citizen"/>
    <d v="2012-03-05T00:00:00"/>
    <m/>
    <s v="N/A-StillEmployed"/>
    <x v="0"/>
    <x v="4"/>
    <s v="John Smith"/>
    <n v="36"/>
    <n v="13"/>
  </r>
  <r>
    <s v="Voldemort, Lord"/>
    <n v="10118"/>
    <n v="1"/>
    <n v="113999"/>
    <x v="6"/>
    <d v="1986-08-07T00:00:00"/>
    <x v="0"/>
    <s v="US Citizen"/>
    <d v="2015-02-16T00:00:00"/>
    <d v="2017-02-22T00:00:00"/>
    <s v="no-call, no-show"/>
    <x v="2"/>
    <x v="1"/>
    <s v="Simon Roup"/>
    <n v="39"/>
    <n v="2"/>
  </r>
  <r>
    <s v="Volk, Colleen"/>
    <n v="10022"/>
    <n v="0"/>
    <n v="49773"/>
    <x v="0"/>
    <d v="1986-06-03T00:00:00"/>
    <x v="1"/>
    <s v="US Citizen"/>
    <d v="2011-09-26T00:00:00"/>
    <d v="2016-02-08T00:00:00"/>
    <s v="gross misconduct"/>
    <x v="2"/>
    <x v="0"/>
    <s v="Kelley Spirea"/>
    <n v="39"/>
    <n v="4"/>
  </r>
  <r>
    <s v="Von Massenbach, Anna"/>
    <n v="10183"/>
    <n v="0"/>
    <n v="62068"/>
    <x v="0"/>
    <d v="1985-04-06T00:00:00"/>
    <x v="1"/>
    <s v="US Citizen"/>
    <d v="2015-07-05T00:00:00"/>
    <m/>
    <s v="N/A-StillEmployed"/>
    <x v="0"/>
    <x v="0"/>
    <s v="Michael Albert"/>
    <n v="40"/>
    <n v="10"/>
  </r>
  <r>
    <s v="Walker, Roger"/>
    <n v="10190"/>
    <n v="1"/>
    <n v="66541"/>
    <x v="2"/>
    <d v="1976-02-10T00:00:00"/>
    <x v="0"/>
    <s v="US Citizen"/>
    <d v="2014-08-18T00:00:00"/>
    <m/>
    <s v="N/A-StillEmployed"/>
    <x v="0"/>
    <x v="0"/>
    <s v="Ketsia Liebig"/>
    <n v="49"/>
    <n v="11"/>
  </r>
  <r>
    <s v="Wallace, Courtney  E"/>
    <n v="10274"/>
    <n v="0"/>
    <n v="80512"/>
    <x v="9"/>
    <d v="1955-11-14T00:00:00"/>
    <x v="1"/>
    <s v="US Citizen"/>
    <d v="2011-09-26T00:00:00"/>
    <d v="2012-01-02T00:00:00"/>
    <s v="Another position"/>
    <x v="1"/>
    <x v="0"/>
    <s v="Janet King"/>
    <n v="70"/>
    <n v="0"/>
  </r>
  <r>
    <s v="Wallace, Theresa"/>
    <n v="10293"/>
    <n v="0"/>
    <n v="50274"/>
    <x v="0"/>
    <d v="1980-08-02T00:00:00"/>
    <x v="1"/>
    <s v="US Citizen"/>
    <d v="2012-08-13T00:00:00"/>
    <d v="2015-09-01T00:00:00"/>
    <s v="career change"/>
    <x v="1"/>
    <x v="0"/>
    <s v="Elijiah Gray"/>
    <n v="45"/>
    <n v="3"/>
  </r>
  <r>
    <s v="Wang, Charlie"/>
    <n v="10172"/>
    <n v="1"/>
    <n v="84903"/>
    <x v="24"/>
    <d v="1981-07-08T00:00:00"/>
    <x v="0"/>
    <s v="US Citizen"/>
    <d v="2017-02-15T00:00:00"/>
    <m/>
    <s v="N/A-StillEmployed"/>
    <x v="0"/>
    <x v="1"/>
    <s v="Brian Champaigne"/>
    <n v="44"/>
    <n v="8"/>
  </r>
  <r>
    <s v="Warfield, Sarah"/>
    <n v="10127"/>
    <n v="0"/>
    <n v="107226"/>
    <x v="15"/>
    <d v="1978-05-02T00:00:00"/>
    <x v="1"/>
    <s v="US Citizen"/>
    <d v="2015-03-30T00:00:00"/>
    <m/>
    <s v="N/A-StillEmployed"/>
    <x v="0"/>
    <x v="1"/>
    <s v="Peter Monroe"/>
    <n v="47"/>
    <n v="10"/>
  </r>
  <r>
    <s v="Whittier, Scott"/>
    <n v="10072"/>
    <n v="1"/>
    <n v="58371"/>
    <x v="0"/>
    <d v="1987-05-24T00:00:00"/>
    <x v="0"/>
    <s v="US Citizen"/>
    <d v="2011-01-10T00:00:00"/>
    <d v="2014-05-15T00:00:00"/>
    <s v="hours"/>
    <x v="1"/>
    <x v="0"/>
    <s v="Webster Butler"/>
    <n v="38"/>
    <n v="3"/>
  </r>
  <r>
    <s v="Wilber, Barry"/>
    <n v="10048"/>
    <n v="1"/>
    <n v="55140"/>
    <x v="0"/>
    <d v="1965-09-09T00:00:00"/>
    <x v="0"/>
    <s v="Eligible NonCitizen"/>
    <d v="2011-05-16T00:00:00"/>
    <d v="2015-09-07T00:00:00"/>
    <s v="unhappy"/>
    <x v="1"/>
    <x v="0"/>
    <s v="Amy Dunn"/>
    <n v="60"/>
    <n v="4"/>
  </r>
  <r>
    <s v="Wilkes, Annie"/>
    <n v="10204"/>
    <n v="0"/>
    <n v="58062"/>
    <x v="0"/>
    <d v="1983-07-30T00:00:00"/>
    <x v="1"/>
    <s v="US Citizen"/>
    <d v="2011-01-10T00:00:00"/>
    <d v="2012-05-14T00:00:00"/>
    <s v="Another position"/>
    <x v="1"/>
    <x v="0"/>
    <s v="Ketsia Liebig"/>
    <n v="42"/>
    <n v="1"/>
  </r>
  <r>
    <s v="Williams, Jacquelyn"/>
    <n v="10264"/>
    <n v="0"/>
    <n v="59728"/>
    <x v="0"/>
    <d v="1969-10-02T00:00:00"/>
    <x v="1"/>
    <s v="US Citizen"/>
    <d v="2012-01-09T00:00:00"/>
    <d v="2015-06-27T00:00:00"/>
    <s v="relocation out of area"/>
    <x v="1"/>
    <x v="0"/>
    <s v="Ketsia Liebig"/>
    <n v="56"/>
    <n v="3"/>
  </r>
  <r>
    <s v="Winthrop, Jordan"/>
    <n v="10033"/>
    <n v="1"/>
    <n v="70507"/>
    <x v="2"/>
    <d v="1958-11-07T00:00:00"/>
    <x v="0"/>
    <s v="US Citizen"/>
    <d v="2013-01-07T00:00:00"/>
    <d v="2016-02-21T00:00:00"/>
    <s v="retiring"/>
    <x v="1"/>
    <x v="0"/>
    <s v="Brannon Miller"/>
    <n v="67"/>
    <n v="3"/>
  </r>
  <r>
    <s v="Wolk, Hang  T"/>
    <n v="10174"/>
    <n v="0"/>
    <n v="60446"/>
    <x v="2"/>
    <d v="1985-04-20T00:00:00"/>
    <x v="1"/>
    <s v="US Citizen"/>
    <d v="2014-09-29T00:00:00"/>
    <m/>
    <s v="N/A-StillEmployed"/>
    <x v="0"/>
    <x v="0"/>
    <s v="David Stanley"/>
    <n v="40"/>
    <n v="11"/>
  </r>
  <r>
    <s v="Woodson, Jason"/>
    <n v="10135"/>
    <n v="1"/>
    <n v="65893"/>
    <x v="2"/>
    <d v="1985-05-11T00:00:00"/>
    <x v="0"/>
    <s v="US Citizen"/>
    <d v="2014-07-07T00:00:00"/>
    <m/>
    <s v="N/A-StillEmployed"/>
    <x v="0"/>
    <x v="0"/>
    <s v="Kissy Sullivan"/>
    <n v="40"/>
    <n v="11"/>
  </r>
  <r>
    <s v="Ybarra, Catherine"/>
    <n v="10301"/>
    <n v="0"/>
    <n v="48513"/>
    <x v="0"/>
    <d v="1982-05-04T00:00:00"/>
    <x v="1"/>
    <s v="US Citizen"/>
    <d v="2008-09-02T00:00:00"/>
    <d v="2015-09-29T00:00:00"/>
    <s v="Another position"/>
    <x v="1"/>
    <x v="0"/>
    <s v="Brannon Miller"/>
    <n v="43"/>
    <n v="7"/>
  </r>
  <r>
    <s v="Zamora, Jennifer"/>
    <n v="10010"/>
    <n v="0"/>
    <n v="220450"/>
    <x v="30"/>
    <d v="1979-08-30T00:00:00"/>
    <x v="1"/>
    <s v="US Citizen"/>
    <d v="2010-04-10T00:00:00"/>
    <m/>
    <s v="N/A-StillEmployed"/>
    <x v="0"/>
    <x v="1"/>
    <s v="Janet King"/>
    <n v="46"/>
    <n v="15"/>
  </r>
  <r>
    <s v="Zhou, Julia"/>
    <n v="10043"/>
    <n v="0"/>
    <n v="89292"/>
    <x v="5"/>
    <d v="1979-02-24T00:00:00"/>
    <x v="1"/>
    <s v="US Citizen"/>
    <d v="2015-03-30T00:00:00"/>
    <m/>
    <s v="N/A-StillEmployed"/>
    <x v="0"/>
    <x v="1"/>
    <s v="Simon Roup"/>
    <n v="46"/>
    <n v="10"/>
  </r>
  <r>
    <s v="Zima, Colleen"/>
    <n v="10271"/>
    <n v="0"/>
    <n v="45046"/>
    <x v="0"/>
    <d v="1978-08-17T00:00:00"/>
    <x v="1"/>
    <s v="US Citizen"/>
    <d v="2014-09-29T00:00:00"/>
    <m/>
    <s v="N/A-StillEmployed"/>
    <x v="0"/>
    <x v="0"/>
    <s v="David Stanley"/>
    <n v="47"/>
    <n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
  <r>
    <s v="Adinolfi, Wilson  K"/>
    <n v="10026"/>
    <n v="1"/>
    <n v="62506"/>
    <s v="Production Technician I"/>
    <d v="1983-07-10T00:00:00"/>
    <s v="M "/>
    <s v="US Citizen"/>
    <d v="2011-07-05T00:00:00"/>
    <m/>
    <s v="N/A-StillEmployed"/>
    <s v="Active"/>
    <s v="Production"/>
    <s v="Michael Albert"/>
    <x v="0"/>
    <x v="0"/>
  </r>
  <r>
    <s v="Ait Sidi, Karthikeyan"/>
    <n v="10084"/>
    <n v="1"/>
    <n v="104437"/>
    <s v="Sr. DBA"/>
    <d v="1975-05-05T00:00:00"/>
    <s v="M "/>
    <s v="US Citizen"/>
    <d v="2015-03-30T00:00:00"/>
    <d v="2016-06-16T00:00:00"/>
    <s v="career change"/>
    <s v="Voluntarily Terminated"/>
    <s v="IT/IS"/>
    <s v="Simon Roup"/>
    <x v="1"/>
    <x v="1"/>
  </r>
  <r>
    <s v="Akinkuolie, Sarah"/>
    <n v="10196"/>
    <n v="0"/>
    <n v="64955"/>
    <s v="Production Technician II"/>
    <d v="1988-09-19T00:00:00"/>
    <s v="F"/>
    <s v="US Citizen"/>
    <d v="2011-07-05T00:00:00"/>
    <d v="2012-09-24T00:00:00"/>
    <s v="hours"/>
    <s v="Voluntarily Terminated"/>
    <s v="Production"/>
    <s v="Kissy Sullivan"/>
    <x v="2"/>
    <x v="1"/>
  </r>
  <r>
    <s v="Alagbe,Trina"/>
    <n v="10088"/>
    <n v="0"/>
    <n v="64991"/>
    <s v="Production Technician I"/>
    <d v="1988-09-27T00:00:00"/>
    <s v="F"/>
    <s v="US Citizen"/>
    <d v="2008-01-07T00:00:00"/>
    <m/>
    <s v="N/A-StillEmployed"/>
    <s v="Active"/>
    <s v="Production"/>
    <s v="Elijiah Gray"/>
    <x v="2"/>
    <x v="2"/>
  </r>
  <r>
    <s v="Anderson, Carol"/>
    <n v="10069"/>
    <n v="0"/>
    <n v="50825"/>
    <s v="Production Technician I"/>
    <d v="1989-09-08T00:00:00"/>
    <s v="F"/>
    <s v="US Citizen"/>
    <d v="2011-07-11T00:00:00"/>
    <d v="2016-09-06T00:00:00"/>
    <s v="return to school"/>
    <s v="Voluntarily Terminated"/>
    <s v="Production"/>
    <s v="Webster Butler"/>
    <x v="3"/>
    <x v="3"/>
  </r>
  <r>
    <s v="Anderson, Linda"/>
    <n v="10002"/>
    <n v="0"/>
    <n v="57568"/>
    <s v="Production Technician I"/>
    <d v="1977-05-22T00:00:00"/>
    <s v="F"/>
    <s v="US Citizen"/>
    <d v="2012-01-09T00:00:00"/>
    <m/>
    <s v="N/A-StillEmployed"/>
    <s v="Active"/>
    <s v="Production"/>
    <s v="Amy Dunn"/>
    <x v="4"/>
    <x v="4"/>
  </r>
  <r>
    <s v="Andreola, Colby"/>
    <n v="10194"/>
    <n v="0"/>
    <n v="95660"/>
    <s v="Software Engineer"/>
    <d v="1979-05-24T00:00:00"/>
    <s v="F"/>
    <s v="US Citizen"/>
    <d v="2014-11-10T00:00:00"/>
    <m/>
    <s v="N/A-StillEmployed"/>
    <s v="Active"/>
    <s v="Software Engineering"/>
    <s v="Alex Sweetwater"/>
    <x v="5"/>
    <x v="5"/>
  </r>
  <r>
    <s v="Athwal, Sam"/>
    <n v="10062"/>
    <n v="1"/>
    <n v="59365"/>
    <s v="Production Technician I"/>
    <d v="1983-02-18T00:00:00"/>
    <s v="M "/>
    <s v="US Citizen"/>
    <d v="2013-09-30T00:00:00"/>
    <m/>
    <s v="N/A-StillEmployed"/>
    <s v="Active"/>
    <s v="Production"/>
    <s v="Ketsia Liebig"/>
    <x v="0"/>
    <x v="6"/>
  </r>
  <r>
    <s v="Bachiochi, Linda"/>
    <n v="10114"/>
    <n v="0"/>
    <n v="47837"/>
    <s v="Production Technician I"/>
    <d v="1970-02-11T00:00:00"/>
    <s v="F"/>
    <s v="US Citizen"/>
    <d v="2009-07-06T00:00:00"/>
    <m/>
    <s v="N/A-StillEmployed"/>
    <s v="Active"/>
    <s v="Production"/>
    <s v="Brannon Miller"/>
    <x v="6"/>
    <x v="7"/>
  </r>
  <r>
    <s v="Bacong, Alejandro"/>
    <n v="10250"/>
    <n v="1"/>
    <n v="50178"/>
    <s v="IT Support"/>
    <d v="1988-01-07T00:00:00"/>
    <s v="M "/>
    <s v="US Citizen"/>
    <d v="2015-01-05T00:00:00"/>
    <m/>
    <s v="N/A-StillEmployed"/>
    <s v="Active"/>
    <s v="IT/IS"/>
    <s v="Peter Monroe"/>
    <x v="2"/>
    <x v="8"/>
  </r>
  <r>
    <s v="Baczenski, Rachael"/>
    <n v="10252"/>
    <n v="0"/>
    <n v="54670"/>
    <s v="Production Technician I"/>
    <d v="1974-01-12T00:00:00"/>
    <s v="F"/>
    <s v="US Citizen"/>
    <d v="2011-01-10T00:00:00"/>
    <d v="2017-01-12T00:00:00"/>
    <s v="Another position"/>
    <s v="Voluntarily Terminated"/>
    <s v="Production"/>
    <s v="David Stanley"/>
    <x v="7"/>
    <x v="9"/>
  </r>
  <r>
    <s v="Barbara, Thomas"/>
    <n v="10242"/>
    <n v="1"/>
    <n v="47211"/>
    <s v="Production Technician I"/>
    <d v="1974-02-21T00:00:00"/>
    <s v="M "/>
    <s v="US Citizen"/>
    <d v="2012-04-02T00:00:00"/>
    <d v="2016-09-19T00:00:00"/>
    <s v="unhappy"/>
    <s v="Voluntarily Terminated"/>
    <s v="Production"/>
    <s v="Kissy Sullivan"/>
    <x v="7"/>
    <x v="10"/>
  </r>
  <r>
    <s v="Barbossa, Hector"/>
    <n v="10012"/>
    <n v="1"/>
    <n v="92328"/>
    <s v="Data Analyst"/>
    <d v="1988-07-04T00:00:00"/>
    <s v="M "/>
    <s v="US Citizen"/>
    <d v="2014-11-10T00:00:00"/>
    <m/>
    <s v="N/A-StillEmployed"/>
    <s v="Active"/>
    <s v="IT/IS"/>
    <s v="Simon Roup"/>
    <x v="2"/>
    <x v="5"/>
  </r>
  <r>
    <s v="Barone, Francesco  A"/>
    <n v="10265"/>
    <n v="1"/>
    <n v="58709"/>
    <s v="Production Technician I"/>
    <d v="1983-07-20T00:00:00"/>
    <s v="M "/>
    <s v="US Citizen"/>
    <d v="2012-02-20T00:00:00"/>
    <m/>
    <s v="N/A-StillEmployed"/>
    <s v="Active"/>
    <s v="Production"/>
    <s v="Kelley Spirea"/>
    <x v="0"/>
    <x v="4"/>
  </r>
  <r>
    <s v="Barton, Nader"/>
    <n v="10066"/>
    <n v="1"/>
    <n v="52505"/>
    <s v="Production Technician I"/>
    <d v="1977-07-15T00:00:00"/>
    <s v="M "/>
    <s v="US Citizen"/>
    <d v="2012-09-24T00:00:00"/>
    <d v="2017-04-06T00:00:00"/>
    <s v="Another position"/>
    <s v="Voluntarily Terminated"/>
    <s v="Production"/>
    <s v="Michael Albert"/>
    <x v="4"/>
    <x v="10"/>
  </r>
  <r>
    <s v="Bates, Norman"/>
    <n v="10061"/>
    <n v="1"/>
    <n v="57834"/>
    <s v="Production Technician I"/>
    <d v="1981-10-18T00:00:00"/>
    <s v="M "/>
    <s v="US Citizen"/>
    <d v="2011-02-21T00:00:00"/>
    <d v="2017-08-04T00:00:00"/>
    <s v="attendance"/>
    <s v="Terminated for Cause"/>
    <s v="Production"/>
    <s v="Kelley Spirea"/>
    <x v="8"/>
    <x v="9"/>
  </r>
  <r>
    <s v="Beak, Kimberly"/>
    <n v="10023"/>
    <n v="0"/>
    <n v="70131"/>
    <s v="Production Technician II"/>
    <d v="1966-04-17T00:00:00"/>
    <s v="F"/>
    <s v="US Citizen"/>
    <d v="2016-07-21T00:00:00"/>
    <m/>
    <s v="N/A-StillEmployed"/>
    <s v="Active"/>
    <s v="Production"/>
    <s v="Kelley Spirea"/>
    <x v="9"/>
    <x v="11"/>
  </r>
  <r>
    <s v="Beatrice, Courtney"/>
    <n v="10055"/>
    <n v="0"/>
    <n v="59026"/>
    <s v="Production Technician I"/>
    <d v="1970-10-27T00:00:00"/>
    <s v="F"/>
    <s v="Eligible NonCitizen"/>
    <d v="2011-04-04T00:00:00"/>
    <m/>
    <s v="N/A-StillEmployed"/>
    <s v="Active"/>
    <s v="Production"/>
    <s v="Elijiah Gray"/>
    <x v="6"/>
    <x v="0"/>
  </r>
  <r>
    <s v="Becker, Renee"/>
    <n v="10245"/>
    <n v="0"/>
    <n v="110000"/>
    <s v="Database Administrator"/>
    <d v="1986-04-04T00:00:00"/>
    <s v="F"/>
    <s v="US Citizen"/>
    <d v="2014-07-07T00:00:00"/>
    <d v="2015-09-12T00:00:00"/>
    <s v="performance"/>
    <s v="Terminated for Cause"/>
    <s v="IT/IS"/>
    <s v="Simon Roup"/>
    <x v="10"/>
    <x v="1"/>
  </r>
  <r>
    <s v="Becker, Scott"/>
    <n v="10277"/>
    <n v="1"/>
    <n v="53250"/>
    <s v="Production Technician I"/>
    <d v="1979-04-06T00:00:00"/>
    <s v="M "/>
    <s v="US Citizen"/>
    <d v="2013-07-08T00:00:00"/>
    <m/>
    <s v="N/A-StillEmployed"/>
    <s v="Active"/>
    <s v="Production"/>
    <s v="Webster Butler"/>
    <x v="5"/>
    <x v="6"/>
  </r>
  <r>
    <s v="Bernstein, Sean"/>
    <n v="10046"/>
    <n v="1"/>
    <n v="51044"/>
    <s v="Production Technician I"/>
    <d v="1970-12-22T00:00:00"/>
    <s v="M "/>
    <s v="US Citizen"/>
    <d v="2012-04-02T00:00:00"/>
    <m/>
    <s v="N/A-StillEmployed"/>
    <s v="Active"/>
    <s v="Production"/>
    <s v="Amy Dunn"/>
    <x v="11"/>
    <x v="4"/>
  </r>
  <r>
    <s v="Biden, Lowan  M"/>
    <n v="10226"/>
    <n v="0"/>
    <n v="64919"/>
    <s v="Production Technician I"/>
    <d v="1958-12-27T00:00:00"/>
    <s v="F"/>
    <s v="US Citizen"/>
    <d v="2013-08-19T00:00:00"/>
    <m/>
    <s v="N/A-StillEmployed"/>
    <s v="Active"/>
    <s v="Production"/>
    <s v="Ketsia Liebig"/>
    <x v="12"/>
    <x v="6"/>
  </r>
  <r>
    <s v="Billis, Helen"/>
    <n v="10003"/>
    <n v="0"/>
    <n v="62910"/>
    <s v="Production Technician I"/>
    <d v="1989-09-01T00:00:00"/>
    <s v="F"/>
    <s v="US Citizen"/>
    <d v="2014-07-07T00:00:00"/>
    <m/>
    <s v="N/A-StillEmployed"/>
    <s v="Active"/>
    <s v="Production"/>
    <s v="Brannon Miller"/>
    <x v="3"/>
    <x v="5"/>
  </r>
  <r>
    <s v="Blount, Dianna"/>
    <n v="10294"/>
    <n v="0"/>
    <n v="66441"/>
    <s v="Production Technician II"/>
    <d v="1990-09-21T00:00:00"/>
    <s v="F"/>
    <s v="US Citizen"/>
    <d v="2011-04-04T00:00:00"/>
    <m/>
    <s v="N/A-StillEmployed"/>
    <s v="Active"/>
    <s v="Production"/>
    <s v="Michael Albert"/>
    <x v="13"/>
    <x v="0"/>
  </r>
  <r>
    <s v="Bondwell, Betsy"/>
    <n v="10267"/>
    <n v="0"/>
    <n v="57815"/>
    <s v="Production Technician II"/>
    <d v="1967-01-16T00:00:00"/>
    <s v="F"/>
    <s v="US Citizen"/>
    <d v="2011-01-10T00:00:00"/>
    <d v="2014-04-04T00:00:00"/>
    <s v="career change"/>
    <s v="Voluntarily Terminated"/>
    <s v="Production"/>
    <s v="Elijiah Gray"/>
    <x v="14"/>
    <x v="12"/>
  </r>
  <r>
    <s v="Booth, Frank"/>
    <n v="10199"/>
    <n v="1"/>
    <n v="103613"/>
    <s v="Enterprise Architect"/>
    <d v="1964-07-30T00:00:00"/>
    <s v="M "/>
    <s v="US Citizen"/>
    <d v="2014-02-17T00:00:00"/>
    <d v="2016-02-19T00:00:00"/>
    <s v="Learned that he is a gangster"/>
    <s v="Terminated for Cause"/>
    <s v="IT/IS"/>
    <s v="Simon Roup"/>
    <x v="15"/>
    <x v="13"/>
  </r>
  <r>
    <s v="Boutwell, Bonalyn"/>
    <n v="10081"/>
    <n v="0"/>
    <n v="106367"/>
    <s v="Sr. Accountant"/>
    <d v="1987-04-04T00:00:00"/>
    <s v="F"/>
    <s v="US Citizen"/>
    <d v="2015-02-16T00:00:00"/>
    <m/>
    <s v="N/A-StillEmployed"/>
    <s v="Active"/>
    <s v="Admin Offices"/>
    <s v="Brandon R. LeBlanc"/>
    <x v="16"/>
    <x v="8"/>
  </r>
  <r>
    <s v="Bozzi, Charles"/>
    <n v="10175"/>
    <n v="1"/>
    <n v="74312"/>
    <s v="Production Manager"/>
    <d v="1970-03-10T00:00:00"/>
    <s v="M "/>
    <s v="US Citizen"/>
    <d v="2013-09-30T00:00:00"/>
    <d v="2014-08-07T00:00:00"/>
    <s v="retiring"/>
    <s v="Voluntarily Terminated"/>
    <s v="Production"/>
    <s v="Janet King"/>
    <x v="6"/>
    <x v="14"/>
  </r>
  <r>
    <s v="Brill, Donna"/>
    <n v="10177"/>
    <n v="0"/>
    <n v="53492"/>
    <s v="Production Technician I"/>
    <d v="1990-08-24T00:00:00"/>
    <s v="F"/>
    <s v="US Citizen"/>
    <d v="2012-04-02T00:00:00"/>
    <d v="2013-06-15T00:00:00"/>
    <s v="Another position"/>
    <s v="Voluntarily Terminated"/>
    <s v="Production"/>
    <s v="David Stanley"/>
    <x v="13"/>
    <x v="1"/>
  </r>
  <r>
    <s v="Brown, Mia"/>
    <n v="10238"/>
    <n v="0"/>
    <n v="63000"/>
    <s v="Accountant I"/>
    <d v="1987-11-24T00:00:00"/>
    <s v="F"/>
    <s v="US Citizen"/>
    <d v="2008-10-27T00:00:00"/>
    <m/>
    <s v="N/A-StillEmployed"/>
    <s v="Active"/>
    <s v="Admin Offices"/>
    <s v="Brandon R. LeBlanc"/>
    <x v="16"/>
    <x v="2"/>
  </r>
  <r>
    <s v="Buccheri, Joseph"/>
    <n v="10184"/>
    <n v="1"/>
    <n v="65288"/>
    <s v="Production Technician II"/>
    <d v="1983-07-28T00:00:00"/>
    <s v="M "/>
    <s v="US Citizen"/>
    <d v="2014-09-29T00:00:00"/>
    <m/>
    <s v="N/A-StillEmployed"/>
    <s v="Active"/>
    <s v="Production"/>
    <s v="Webster Butler"/>
    <x v="0"/>
    <x v="5"/>
  </r>
  <r>
    <s v="Bugali, Josephine"/>
    <n v="10203"/>
    <n v="0"/>
    <n v="64375"/>
    <s v="Production Technician I"/>
    <d v="1969-10-30T00:00:00"/>
    <s v="F"/>
    <s v="US Citizen"/>
    <d v="2013-11-11T00:00:00"/>
    <m/>
    <s v="N/A-StillEmployed"/>
    <s v="Active"/>
    <s v="Production"/>
    <s v="Kissy Sullivan"/>
    <x v="17"/>
    <x v="6"/>
  </r>
  <r>
    <s v="Bunbury, Jessica"/>
    <n v="10188"/>
    <n v="0"/>
    <n v="74326"/>
    <s v="Area Sales Manager"/>
    <d v="1964-06-01T00:00:00"/>
    <s v="F"/>
    <s v="Eligible NonCitizen"/>
    <d v="2011-08-15T00:00:00"/>
    <d v="2014-08-02T00:00:00"/>
    <s v="Another position"/>
    <s v="Voluntarily Terminated"/>
    <s v="Sales"/>
    <s v="John Smith"/>
    <x v="15"/>
    <x v="13"/>
  </r>
  <r>
    <s v="Burke, Joelle"/>
    <n v="10107"/>
    <n v="0"/>
    <n v="63763"/>
    <s v="Production Technician II"/>
    <d v="1980-03-02T00:00:00"/>
    <s v="F"/>
    <s v="US Citizen"/>
    <d v="2012-03-05T00:00:00"/>
    <m/>
    <s v="N/A-StillEmployed"/>
    <s v="Active"/>
    <s v="Production"/>
    <s v="Amy Dunn"/>
    <x v="18"/>
    <x v="4"/>
  </r>
  <r>
    <s v="Burkett, Benjamin"/>
    <n v="10181"/>
    <n v="1"/>
    <n v="62162"/>
    <s v="Production Technician II"/>
    <d v="1977-08-19T00:00:00"/>
    <s v="M "/>
    <s v="US Citizen"/>
    <d v="2011-04-04T00:00:00"/>
    <m/>
    <s v="N/A-StillEmployed"/>
    <s v="Active"/>
    <s v="Production"/>
    <s v="Ketsia Liebig"/>
    <x v="4"/>
    <x v="0"/>
  </r>
  <r>
    <s v="Cady, Max"/>
    <n v="10150"/>
    <n v="1"/>
    <n v="77692"/>
    <s v="Software Engineering Manager"/>
    <d v="1966-11-22T00:00:00"/>
    <s v="M "/>
    <s v="US Citizen"/>
    <d v="2011-08-15T00:00:00"/>
    <m/>
    <s v="N/A-StillEmployed"/>
    <s v="Active"/>
    <s v="Software Engineering"/>
    <s v="Jennifer Zamora"/>
    <x v="9"/>
    <x v="0"/>
  </r>
  <r>
    <s v="Candie, Calvin"/>
    <n v="10001"/>
    <n v="1"/>
    <n v="72640"/>
    <s v="Production Manager"/>
    <d v="1983-08-09T00:00:00"/>
    <s v="M "/>
    <s v="US Citizen"/>
    <d v="2016-01-28T00:00:00"/>
    <m/>
    <s v="N/A-StillEmployed"/>
    <s v="Active"/>
    <s v="Production"/>
    <s v="Janet King"/>
    <x v="0"/>
    <x v="11"/>
  </r>
  <r>
    <s v="Carabbio, Judith"/>
    <n v="10085"/>
    <n v="0"/>
    <n v="93396"/>
    <s v="Software Engineer"/>
    <d v="1987-04-05T00:00:00"/>
    <s v="F"/>
    <s v="US Citizen"/>
    <d v="2013-11-11T00:00:00"/>
    <m/>
    <s v="N/A-StillEmployed"/>
    <s v="Active"/>
    <s v="Software Engineering"/>
    <s v="Alex Sweetwater"/>
    <x v="16"/>
    <x v="6"/>
  </r>
  <r>
    <s v="Carey, Michael"/>
    <n v="10115"/>
    <n v="1"/>
    <n v="52846"/>
    <s v="Production Technician I"/>
    <d v="1983-02-02T00:00:00"/>
    <s v="M "/>
    <s v="US Citizen"/>
    <d v="2014-03-31T00:00:00"/>
    <m/>
    <s v="N/A-StillEmployed"/>
    <s v="Active"/>
    <s v="Production"/>
    <s v="Kelley Spirea"/>
    <x v="0"/>
    <x v="5"/>
  </r>
  <r>
    <s v="Carr, Claudia  N"/>
    <n v="10082"/>
    <n v="0"/>
    <n v="100031"/>
    <s v="Sr. DBA"/>
    <d v="1986-06-06T00:00:00"/>
    <s v="F"/>
    <s v="US Citizen"/>
    <d v="2016-06-30T00:00:00"/>
    <m/>
    <s v="N/A-StillEmployed"/>
    <s v="Active"/>
    <s v="IT/IS"/>
    <s v="Simon Roup"/>
    <x v="10"/>
    <x v="11"/>
  </r>
  <r>
    <s v="Carter, Michelle"/>
    <n v="10040"/>
    <n v="0"/>
    <n v="71860"/>
    <s v="Area Sales Manager"/>
    <d v="1963-05-15T00:00:00"/>
    <s v="F"/>
    <s v="US Citizen"/>
    <d v="2014-08-18T00:00:00"/>
    <m/>
    <s v="N/A-StillEmployed"/>
    <s v="Active"/>
    <s v="Sales"/>
    <s v="John Smith"/>
    <x v="19"/>
    <x v="5"/>
  </r>
  <r>
    <s v="Chace, Beatrice"/>
    <n v="10067"/>
    <n v="0"/>
    <n v="61656"/>
    <s v="Production Technician I"/>
    <d v="1951-01-02T00:00:00"/>
    <s v="F"/>
    <s v="US Citizen"/>
    <d v="2014-09-29T00:00:00"/>
    <m/>
    <s v="N/A-StillEmployed"/>
    <s v="Active"/>
    <s v="Production"/>
    <s v="Michael Albert"/>
    <x v="20"/>
    <x v="5"/>
  </r>
  <r>
    <s v="Champaigne, Brian"/>
    <n v="10108"/>
    <n v="1"/>
    <n v="110929"/>
    <s v="BI Director"/>
    <d v="1972-02-09T00:00:00"/>
    <s v="M "/>
    <s v="US Citizen"/>
    <d v="2016-09-06T00:00:00"/>
    <m/>
    <s v="N/A-StillEmployed"/>
    <s v="Active"/>
    <s v="IT/IS"/>
    <s v="Jennifer Zamora"/>
    <x v="21"/>
    <x v="11"/>
  </r>
  <r>
    <s v="Chan, Lin"/>
    <n v="10210"/>
    <n v="0"/>
    <n v="54237"/>
    <s v="Production Technician I"/>
    <d v="1979-02-12T00:00:00"/>
    <s v="F"/>
    <s v="US Citizen"/>
    <d v="2014-05-12T00:00:00"/>
    <m/>
    <s v="N/A-StillEmployed"/>
    <s v="Active"/>
    <s v="Production"/>
    <s v="Elijiah Gray"/>
    <x v="5"/>
    <x v="5"/>
  </r>
  <r>
    <s v="Chang, Donovan  E"/>
    <n v="10154"/>
    <n v="1"/>
    <n v="60380"/>
    <s v="Production Technician I"/>
    <d v="1983-08-24T00:00:00"/>
    <s v="M "/>
    <s v="US Citizen"/>
    <d v="2013-07-08T00:00:00"/>
    <m/>
    <s v="N/A-StillEmployed"/>
    <s v="Active"/>
    <s v="Production"/>
    <s v="Webster Butler"/>
    <x v="0"/>
    <x v="6"/>
  </r>
  <r>
    <s v="Chigurh, Anton"/>
    <n v="10200"/>
    <n v="1"/>
    <n v="66808"/>
    <s v="Area Sales Manager"/>
    <d v="1970-06-11T00:00:00"/>
    <s v="M "/>
    <s v="Eligible NonCitizen"/>
    <d v="2012-05-14T00:00:00"/>
    <m/>
    <s v="N/A-StillEmployed"/>
    <s v="Active"/>
    <s v="Sales"/>
    <s v="Lynn Daneault"/>
    <x v="6"/>
    <x v="4"/>
  </r>
  <r>
    <s v="Chivukula, Enola"/>
    <n v="10240"/>
    <n v="0"/>
    <n v="64786"/>
    <s v="Production Technician I"/>
    <d v="1983-08-27T00:00:00"/>
    <s v="F"/>
    <s v="US Citizen"/>
    <d v="2011-06-27T00:00:00"/>
    <d v="2015-11-15T00:00:00"/>
    <s v="relocation out of area"/>
    <s v="Voluntarily Terminated"/>
    <s v="Production"/>
    <s v="Amy Dunn"/>
    <x v="0"/>
    <x v="10"/>
  </r>
  <r>
    <s v="Cierpiszewski, Caroline"/>
    <n v="10168"/>
    <n v="0"/>
    <n v="64816"/>
    <s v="Production Technician I"/>
    <d v="1988-05-31T00:00:00"/>
    <s v="F"/>
    <s v="Non-Citizen"/>
    <d v="2011-10-03T00:00:00"/>
    <m/>
    <s v="N/A-StillEmployed"/>
    <s v="Active"/>
    <s v="Production"/>
    <s v="Ketsia Liebig"/>
    <x v="2"/>
    <x v="0"/>
  </r>
  <r>
    <s v="Clayton, Rick"/>
    <n v="10220"/>
    <n v="1"/>
    <n v="68678"/>
    <s v="IT Support"/>
    <d v="1985-09-05T00:00:00"/>
    <s v="M "/>
    <s v="US Citizen"/>
    <d v="2012-09-05T00:00:00"/>
    <m/>
    <s v="N/A-StillEmployed"/>
    <s v="Active"/>
    <s v="IT/IS"/>
    <s v="Eric Dougall"/>
    <x v="22"/>
    <x v="4"/>
  </r>
  <r>
    <s v="Cloninger, Jennifer"/>
    <n v="10275"/>
    <n v="0"/>
    <n v="64066"/>
    <s v="Production Technician II"/>
    <d v="1981-08-31T00:00:00"/>
    <s v="F"/>
    <s v="US Citizen"/>
    <d v="2011-05-16T00:00:00"/>
    <d v="2013-01-07T00:00:00"/>
    <s v="unhappy"/>
    <s v="Voluntarily Terminated"/>
    <s v="Production"/>
    <s v="Brannon Miller"/>
    <x v="8"/>
    <x v="1"/>
  </r>
  <r>
    <s v="Close, Phil"/>
    <n v="10269"/>
    <n v="1"/>
    <n v="59369"/>
    <s v="Production Technician II"/>
    <d v="1978-11-25T00:00:00"/>
    <s v="M "/>
    <s v="US Citizen"/>
    <d v="2010-08-30T00:00:00"/>
    <d v="2011-09-26T00:00:00"/>
    <s v="career change"/>
    <s v="Voluntarily Terminated"/>
    <s v="Production"/>
    <s v="David Stanley"/>
    <x v="23"/>
    <x v="1"/>
  </r>
  <r>
    <s v="Clukey, Elijian"/>
    <n v="10029"/>
    <n v="1"/>
    <n v="50373"/>
    <s v="Production Technician I"/>
    <d v="1980-08-26T00:00:00"/>
    <s v="M "/>
    <s v="US Citizen"/>
    <d v="2016-07-06T00:00:00"/>
    <m/>
    <s v="N/A-StillEmployed"/>
    <s v="Active"/>
    <s v="Production"/>
    <s v="Brannon Miller"/>
    <x v="18"/>
    <x v="11"/>
  </r>
  <r>
    <s v="Cockel, James"/>
    <n v="10261"/>
    <n v="1"/>
    <n v="63108"/>
    <s v="Production Technician I"/>
    <d v="1977-09-08T00:00:00"/>
    <s v="M "/>
    <s v="US Citizen"/>
    <d v="2013-07-08T00:00:00"/>
    <m/>
    <s v="N/A-StillEmployed"/>
    <s v="Active"/>
    <s v="Production"/>
    <s v="David Stanley"/>
    <x v="4"/>
    <x v="6"/>
  </r>
  <r>
    <s v="Cole, Spencer"/>
    <n v="10292"/>
    <n v="1"/>
    <n v="59144"/>
    <s v="Production Technician I"/>
    <d v="1979-08-12T00:00:00"/>
    <s v="M "/>
    <s v="US Citizen"/>
    <d v="2011-07-11T00:00:00"/>
    <d v="2016-09-23T00:00:00"/>
    <s v="performance"/>
    <s v="Terminated for Cause"/>
    <s v="Production"/>
    <s v="Kissy Sullivan"/>
    <x v="5"/>
    <x v="3"/>
  </r>
  <r>
    <s v="Corleone, Michael"/>
    <n v="10282"/>
    <n v="1"/>
    <n v="68051"/>
    <s v="Production Manager"/>
    <d v="1975-12-17T00:00:00"/>
    <s v="M "/>
    <s v="US Citizen"/>
    <d v="2010-07-20T00:00:00"/>
    <m/>
    <s v="N/A-StillEmployed"/>
    <s v="Active"/>
    <s v="Production"/>
    <s v="Janet King"/>
    <x v="24"/>
    <x v="15"/>
  </r>
  <r>
    <s v="Corleone, Vito"/>
    <n v="10019"/>
    <n v="1"/>
    <n v="170500"/>
    <s v="Director of Operations"/>
    <d v="1983-03-19T00:00:00"/>
    <s v="M "/>
    <s v="US Citizen"/>
    <d v="2009-01-05T00:00:00"/>
    <m/>
    <s v="N/A-StillEmployed"/>
    <s v="Active"/>
    <s v="Production"/>
    <s v="Janet King"/>
    <x v="0"/>
    <x v="7"/>
  </r>
  <r>
    <s v="Cornett, Lisa"/>
    <n v="10094"/>
    <n v="0"/>
    <n v="63381"/>
    <s v="Production Technician I"/>
    <d v="1977-03-31T00:00:00"/>
    <s v="F"/>
    <s v="US Citizen"/>
    <d v="2015-01-05T00:00:00"/>
    <m/>
    <s v="N/A-StillEmployed"/>
    <s v="Active"/>
    <s v="Production"/>
    <s v="Kelley Spirea"/>
    <x v="4"/>
    <x v="8"/>
  </r>
  <r>
    <s v="Costello, Frank"/>
    <n v="10193"/>
    <n v="1"/>
    <n v="83552"/>
    <s v="Data Analyst"/>
    <d v="1986-08-26T00:00:00"/>
    <s v="M "/>
    <s v="US Citizen"/>
    <d v="2015-03-30T00:00:00"/>
    <m/>
    <s v="N/A-StillEmployed"/>
    <s v="Active"/>
    <s v="IT/IS"/>
    <s v="Simon Roup"/>
    <x v="10"/>
    <x v="8"/>
  </r>
  <r>
    <s v="Crimmings,   Jean"/>
    <n v="10132"/>
    <n v="0"/>
    <n v="56149"/>
    <s v="Production Technician I"/>
    <d v="1987-04-10T00:00:00"/>
    <s v="F"/>
    <s v="US Citizen"/>
    <d v="2016-07-06T00:00:00"/>
    <m/>
    <s v="N/A-StillEmployed"/>
    <s v="Active"/>
    <s v="Production"/>
    <s v="Michael Albert"/>
    <x v="16"/>
    <x v="11"/>
  </r>
  <r>
    <s v="Cross, Noah"/>
    <n v="10083"/>
    <n v="1"/>
    <n v="92329"/>
    <s v="Sr. Network Engineer"/>
    <d v="1965-09-09T00:00:00"/>
    <s v="M "/>
    <s v="US Citizen"/>
    <d v="2014-11-10T00:00:00"/>
    <m/>
    <s v="N/A-StillEmployed"/>
    <s v="Active"/>
    <s v="IT/IS"/>
    <s v="Peter Monroe"/>
    <x v="25"/>
    <x v="5"/>
  </r>
  <r>
    <s v="Daneault, Lynn"/>
    <n v="10099"/>
    <n v="0"/>
    <n v="65729"/>
    <s v="Sales Manager"/>
    <d v="1990-04-19T00:00:00"/>
    <s v="F"/>
    <s v="US Citizen"/>
    <d v="2014-05-05T00:00:00"/>
    <m/>
    <s v="N/A-StillEmployed"/>
    <s v="Active"/>
    <s v="Sales"/>
    <s v="Debra Houlihan"/>
    <x v="13"/>
    <x v="5"/>
  </r>
  <r>
    <s v="Daniele, Ann"/>
    <n v="10212"/>
    <n v="0"/>
    <n v="85028"/>
    <s v="Sr. Network Engineer"/>
    <d v="1952-01-18T00:00:00"/>
    <s v="F"/>
    <s v="US Citizen"/>
    <d v="2014-11-10T00:00:00"/>
    <m/>
    <s v="N/A-StillEmployed"/>
    <s v="Active"/>
    <s v="IT/IS"/>
    <s v="Peter Monroe"/>
    <x v="26"/>
    <x v="5"/>
  </r>
  <r>
    <s v="Darson, Jene'ya"/>
    <n v="10056"/>
    <n v="0"/>
    <n v="57583"/>
    <s v="Production Technician I"/>
    <d v="1978-11-05T00:00:00"/>
    <s v="F"/>
    <s v="US Citizen"/>
    <d v="2012-07-02T00:00:00"/>
    <m/>
    <s v="N/A-StillEmployed"/>
    <s v="Active"/>
    <s v="Production"/>
    <s v="Elijiah Gray"/>
    <x v="23"/>
    <x v="4"/>
  </r>
  <r>
    <s v="Davis, Daniel"/>
    <n v="10143"/>
    <n v="1"/>
    <n v="56294"/>
    <s v="Production Technician II"/>
    <d v="1979-09-14T00:00:00"/>
    <s v="M "/>
    <s v="Eligible NonCitizen"/>
    <d v="2011-11-07T00:00:00"/>
    <m/>
    <s v="N/A-StillEmployed"/>
    <s v="Active"/>
    <s v="Production"/>
    <s v="Kissy Sullivan"/>
    <x v="5"/>
    <x v="0"/>
  </r>
  <r>
    <s v="Dee, Randy"/>
    <n v="10311"/>
    <n v="1"/>
    <n v="56991"/>
    <s v="Production Technician I"/>
    <d v="1988-04-15T00:00:00"/>
    <s v="M "/>
    <s v="US Citizen"/>
    <d v="2018-07-09T00:00:00"/>
    <m/>
    <s v="N/A-StillEmployed"/>
    <s v="Active"/>
    <s v="Production"/>
    <s v="Brannon Miller"/>
    <x v="2"/>
    <x v="16"/>
  </r>
  <r>
    <s v="DeGweck,  James"/>
    <n v="10070"/>
    <n v="1"/>
    <n v="55722"/>
    <s v="Production Technician I"/>
    <d v="1977-10-31T00:00:00"/>
    <s v="M "/>
    <s v="US Citizen"/>
    <d v="2011-05-16T00:00:00"/>
    <d v="2016-06-08T00:00:00"/>
    <s v="unhappy"/>
    <s v="Voluntarily Terminated"/>
    <s v="Production"/>
    <s v="Webster Butler"/>
    <x v="4"/>
    <x v="3"/>
  </r>
  <r>
    <s v="Del Bosque, Keyla"/>
    <n v="10155"/>
    <n v="0"/>
    <n v="101199"/>
    <s v="Software Engineer"/>
    <d v="1979-07-05T00:00:00"/>
    <s v="F"/>
    <s v="US Citizen"/>
    <d v="2012-01-09T00:00:00"/>
    <m/>
    <s v="N/A-StillEmployed"/>
    <s v="Active"/>
    <s v="Software Engineering"/>
    <s v="Alex Sweetwater"/>
    <x v="5"/>
    <x v="4"/>
  </r>
  <r>
    <s v="Delarge, Alex"/>
    <n v="10306"/>
    <n v="1"/>
    <n v="61568"/>
    <s v="Area Sales Manager"/>
    <d v="1975-11-02T00:00:00"/>
    <s v="M "/>
    <s v="US Citizen"/>
    <d v="2014-09-29T00:00:00"/>
    <m/>
    <s v="N/A-StillEmployed"/>
    <s v="Active"/>
    <s v="Sales"/>
    <s v="John Smith"/>
    <x v="1"/>
    <x v="5"/>
  </r>
  <r>
    <s v="Demita, Carla"/>
    <n v="10100"/>
    <n v="0"/>
    <n v="58275"/>
    <s v="Production Technician II"/>
    <d v="1951-02-25T00:00:00"/>
    <s v="F"/>
    <s v="US Citizen"/>
    <d v="2011-04-04T00:00:00"/>
    <d v="2015-11-04T00:00:00"/>
    <s v="more money"/>
    <s v="Voluntarily Terminated"/>
    <s v="Production"/>
    <s v="Kelley Spirea"/>
    <x v="20"/>
    <x v="10"/>
  </r>
  <r>
    <s v="Desimone, Carl"/>
    <n v="10310"/>
    <n v="1"/>
    <n v="53189"/>
    <s v="Production Technician I"/>
    <d v="1967-04-19T00:00:00"/>
    <s v="M "/>
    <s v="US Citizen"/>
    <d v="2014-07-07T00:00:00"/>
    <m/>
    <s v="N/A-StillEmployed"/>
    <s v="Active"/>
    <s v="Production"/>
    <s v="Amy Dunn"/>
    <x v="14"/>
    <x v="5"/>
  </r>
  <r>
    <s v="DeVito, Tommy"/>
    <n v="10197"/>
    <n v="1"/>
    <n v="96820"/>
    <s v="BI Developer"/>
    <d v="1983-09-04T00:00:00"/>
    <s v="M "/>
    <s v="US Citizen"/>
    <d v="2017-02-15T00:00:00"/>
    <m/>
    <s v="N/A-StillEmployed"/>
    <s v="Active"/>
    <s v="IT/IS"/>
    <s v="Brian Champaigne"/>
    <x v="0"/>
    <x v="17"/>
  </r>
  <r>
    <s v="Dickinson, Geoff"/>
    <n v="10276"/>
    <n v="1"/>
    <n v="51259"/>
    <s v="Production Technician I"/>
    <d v="1982-11-15T00:00:00"/>
    <s v="M "/>
    <s v="US Citizen"/>
    <d v="2014-05-12T00:00:00"/>
    <m/>
    <s v="N/A-StillEmployed"/>
    <s v="Active"/>
    <s v="Production"/>
    <s v="Ketsia Liebig"/>
    <x v="27"/>
    <x v="5"/>
  </r>
  <r>
    <s v="Dietrich, Jenna"/>
    <n v="10304"/>
    <n v="0"/>
    <n v="59231"/>
    <s v="Area Sales Manager"/>
    <d v="1987-05-14T00:00:00"/>
    <s v="F"/>
    <s v="US Citizen"/>
    <d v="2012-02-20T00:00:00"/>
    <m/>
    <s v="N/A-StillEmployed"/>
    <s v="Active"/>
    <s v="Sales"/>
    <s v="John Smith"/>
    <x v="16"/>
    <x v="4"/>
  </r>
  <r>
    <s v="DiNocco, Lily"/>
    <n v="10284"/>
    <n v="0"/>
    <n v="61584"/>
    <s v="Production Technician I"/>
    <d v="1978-12-02T00:00:00"/>
    <s v="F"/>
    <s v="US Citizen"/>
    <d v="2013-01-07T00:00:00"/>
    <m/>
    <s v="N/A-StillEmployed"/>
    <s v="Active"/>
    <s v="Production"/>
    <s v="Brannon Miller"/>
    <x v="23"/>
    <x v="6"/>
  </r>
  <r>
    <s v="Dobrin, Denisa  S"/>
    <n v="10207"/>
    <n v="0"/>
    <n v="46335"/>
    <s v="Production Technician I"/>
    <d v="1986-10-07T00:00:00"/>
    <s v="F"/>
    <s v="US Citizen"/>
    <d v="2012-04-02T00:00:00"/>
    <m/>
    <s v="N/A-StillEmployed"/>
    <s v="Active"/>
    <s v="Production"/>
    <s v="David Stanley"/>
    <x v="10"/>
    <x v="4"/>
  </r>
  <r>
    <s v="Dolan, Linda"/>
    <n v="10133"/>
    <n v="0"/>
    <n v="70621"/>
    <s v="IT Support"/>
    <d v="1988-07-18T00:00:00"/>
    <s v="F"/>
    <s v="US Citizen"/>
    <d v="2015-01-05T00:00:00"/>
    <m/>
    <s v="N/A-StillEmployed"/>
    <s v="Active"/>
    <s v="IT/IS"/>
    <s v="Peter Monroe"/>
    <x v="2"/>
    <x v="8"/>
  </r>
  <r>
    <s v="Dougall, Eric"/>
    <n v="10028"/>
    <n v="1"/>
    <n v="138888"/>
    <s v="IT Manager - Support"/>
    <d v="1970-07-09T00:00:00"/>
    <s v="M "/>
    <s v="US Citizen"/>
    <d v="2014-01-05T00:00:00"/>
    <m/>
    <s v="N/A-StillEmployed"/>
    <s v="Active"/>
    <s v="IT/IS"/>
    <s v="Jennifer Zamora"/>
    <x v="6"/>
    <x v="5"/>
  </r>
  <r>
    <s v="Driver, Elle"/>
    <n v="10006"/>
    <n v="0"/>
    <n v="74241"/>
    <s v="Area Sales Manager"/>
    <d v="1988-11-08T00:00:00"/>
    <s v="F"/>
    <s v="US Citizen"/>
    <d v="2011-01-10T00:00:00"/>
    <m/>
    <s v="N/A-StillEmployed"/>
    <s v="Active"/>
    <s v="Sales"/>
    <s v="Lynn Daneault"/>
    <x v="2"/>
    <x v="0"/>
  </r>
  <r>
    <s v="Dunn, Amy"/>
    <n v="10105"/>
    <n v="0"/>
    <n v="75188"/>
    <s v="Production Manager"/>
    <d v="1973-11-28T00:00:00"/>
    <s v="F"/>
    <s v="US Citizen"/>
    <d v="2014-09-18T00:00:00"/>
    <m/>
    <s v="N/A-StillEmployed"/>
    <s v="Active"/>
    <s v="Production"/>
    <s v="Janet King"/>
    <x v="28"/>
    <x v="5"/>
  </r>
  <r>
    <s v="Dunne, Amy"/>
    <n v="10211"/>
    <n v="0"/>
    <n v="62514"/>
    <s v="Production Technician I"/>
    <d v="1973-09-23T00:00:00"/>
    <s v="F"/>
    <s v="US Citizen"/>
    <d v="2010-04-26T00:00:00"/>
    <m/>
    <s v="N/A-StillEmployed"/>
    <s v="Active"/>
    <s v="Production"/>
    <s v="Ketsia Liebig"/>
    <x v="28"/>
    <x v="15"/>
  </r>
  <r>
    <s v="Eaton, Marianne"/>
    <n v="10064"/>
    <n v="0"/>
    <n v="60070"/>
    <s v="Production Technician I"/>
    <d v="1991-09-05T00:00:00"/>
    <s v="F"/>
    <s v="US Citizen"/>
    <d v="2011-04-04T00:00:00"/>
    <d v="2017-06-06T00:00:00"/>
    <s v="military"/>
    <s v="Voluntarily Terminated"/>
    <s v="Production"/>
    <s v="Kissy Sullivan"/>
    <x v="29"/>
    <x v="9"/>
  </r>
  <r>
    <s v="Engdahl, Jean"/>
    <n v="10247"/>
    <n v="1"/>
    <n v="48888"/>
    <s v="Production Technician I"/>
    <d v="1974-05-31T00:00:00"/>
    <s v="M "/>
    <s v="US Citizen"/>
    <d v="2014-11-10T00:00:00"/>
    <m/>
    <s v="N/A-StillEmployed"/>
    <s v="Active"/>
    <s v="Production"/>
    <s v="Kelley Spirea"/>
    <x v="7"/>
    <x v="5"/>
  </r>
  <r>
    <s v="England, Rex"/>
    <n v="10235"/>
    <n v="1"/>
    <n v="54285"/>
    <s v="Production Technician I"/>
    <d v="1978-08-25T00:00:00"/>
    <s v="M "/>
    <s v="US Citizen"/>
    <d v="2014-03-31T00:00:00"/>
    <m/>
    <s v="N/A-StillEmployed"/>
    <s v="Active"/>
    <s v="Production"/>
    <s v="Kelley Spirea"/>
    <x v="23"/>
    <x v="5"/>
  </r>
  <r>
    <s v="Erilus, Angela"/>
    <n v="10299"/>
    <n v="0"/>
    <n v="56847"/>
    <s v="Production Technician II"/>
    <d v="1989-08-25T00:00:00"/>
    <s v="F"/>
    <s v="US Citizen"/>
    <d v="2014-07-07T00:00:00"/>
    <m/>
    <s v="N/A-StillEmployed"/>
    <s v="Active"/>
    <s v="Production"/>
    <s v="Michael Albert"/>
    <x v="3"/>
    <x v="5"/>
  </r>
  <r>
    <s v="Estremera, Miguel"/>
    <n v="10280"/>
    <n v="1"/>
    <n v="60340"/>
    <s v="Production Technician I"/>
    <d v="1983-09-02T00:00:00"/>
    <s v="M "/>
    <s v="US Citizen"/>
    <d v="2012-04-02T00:00:00"/>
    <d v="2018-09-27T00:00:00"/>
    <s v="attendance"/>
    <s v="Terminated for Cause"/>
    <s v="Production"/>
    <s v="Michael Albert"/>
    <x v="0"/>
    <x v="9"/>
  </r>
  <r>
    <s v="Evensen, April"/>
    <n v="10296"/>
    <n v="0"/>
    <n v="59124"/>
    <s v="Production Technician I"/>
    <d v="1989-05-06T00:00:00"/>
    <s v="F"/>
    <s v="US Citizen"/>
    <d v="2014-02-17T00:00:00"/>
    <d v="2018-02-25T00:00:00"/>
    <s v="no-call, no-show"/>
    <s v="Terminated for Cause"/>
    <s v="Production"/>
    <s v="Elijiah Gray"/>
    <x v="3"/>
    <x v="10"/>
  </r>
  <r>
    <s v="Exantus, Susan"/>
    <n v="10290"/>
    <n v="0"/>
    <n v="99280"/>
    <s v="Software Engineer"/>
    <d v="1987-05-15T00:00:00"/>
    <s v="F"/>
    <s v="US Citizen"/>
    <d v="2011-05-02T00:00:00"/>
    <d v="2013-06-05T00:00:00"/>
    <s v="attendance"/>
    <s v="Terminated for Cause"/>
    <s v="Software Engineering"/>
    <s v="Alex Sweetwater"/>
    <x v="16"/>
    <x v="13"/>
  </r>
  <r>
    <s v="Faller, Megan"/>
    <n v="10263"/>
    <n v="0"/>
    <n v="71776"/>
    <s v="Production Technician II"/>
    <d v="1978-09-22T00:00:00"/>
    <s v="F"/>
    <s v="US Citizen"/>
    <d v="2014-07-07T00:00:00"/>
    <m/>
    <s v="N/A-StillEmployed"/>
    <s v="Active"/>
    <s v="Production"/>
    <s v="Elijiah Gray"/>
    <x v="23"/>
    <x v="5"/>
  </r>
  <r>
    <s v="Fancett, Nicole"/>
    <n v="10136"/>
    <n v="0"/>
    <n v="65902"/>
    <s v="Production Technician II"/>
    <d v="1987-09-27T00:00:00"/>
    <s v="F"/>
    <s v="US Citizen"/>
    <d v="2014-02-17T00:00:00"/>
    <m/>
    <s v="N/A-StillEmployed"/>
    <s v="Active"/>
    <s v="Production"/>
    <s v="Webster Butler"/>
    <x v="16"/>
    <x v="5"/>
  </r>
  <r>
    <s v="Ferguson, Susan"/>
    <n v="10189"/>
    <n v="0"/>
    <n v="57748"/>
    <s v="Production Technician I"/>
    <d v="1955-04-14T00:00:00"/>
    <s v="F"/>
    <s v="US Citizen"/>
    <d v="2011-11-07T00:00:00"/>
    <d v="2016-05-17T00:00:00"/>
    <s v="military"/>
    <s v="Voluntarily Terminated"/>
    <s v="Production"/>
    <s v="Webster Butler"/>
    <x v="30"/>
    <x v="10"/>
  </r>
  <r>
    <s v="Fernandes, Nilson"/>
    <n v="10308"/>
    <n v="1"/>
    <n v="64057"/>
    <s v="Production Technician I"/>
    <d v="1989-10-18T00:00:00"/>
    <s v="M "/>
    <s v="US Citizen"/>
    <d v="2015-05-11T00:00:00"/>
    <m/>
    <s v="N/A-StillEmployed"/>
    <s v="Active"/>
    <s v="Production"/>
    <s v="Amy Dunn"/>
    <x v="3"/>
    <x v="8"/>
  </r>
  <r>
    <s v="Fett, Boba"/>
    <n v="10309"/>
    <n v="1"/>
    <n v="53366"/>
    <s v="Network Engineer"/>
    <d v="1987-06-18T00:00:00"/>
    <s v="M "/>
    <s v="US Citizen"/>
    <d v="2015-03-30T00:00:00"/>
    <m/>
    <s v="N/A-StillEmployed"/>
    <s v="Active"/>
    <s v="IT/IS"/>
    <s v="Peter Monroe"/>
    <x v="16"/>
    <x v="8"/>
  </r>
  <r>
    <s v="Fidelia,  Libby"/>
    <n v="10049"/>
    <n v="0"/>
    <n v="58530"/>
    <s v="Production Technician I"/>
    <d v="1981-03-16T00:00:00"/>
    <s v="F"/>
    <s v="US Citizen"/>
    <d v="2012-01-09T00:00:00"/>
    <m/>
    <s v="N/A-StillEmployed"/>
    <s v="Active"/>
    <s v="Production"/>
    <s v="Brannon Miller"/>
    <x v="8"/>
    <x v="4"/>
  </r>
  <r>
    <s v="Fitzpatrick, Michael  J"/>
    <n v="10093"/>
    <n v="1"/>
    <n v="72609"/>
    <s v="Production Technician II"/>
    <d v="1981-10-01T00:00:00"/>
    <s v="M "/>
    <s v="US Citizen"/>
    <d v="2011-05-16T00:00:00"/>
    <d v="2013-06-24T00:00:00"/>
    <s v="hours"/>
    <s v="Voluntarily Terminated"/>
    <s v="Production"/>
    <s v="Amy Dunn"/>
    <x v="8"/>
    <x v="13"/>
  </r>
  <r>
    <s v="Foreman, Tanya"/>
    <n v="10163"/>
    <n v="0"/>
    <n v="55965"/>
    <s v="Production Technician II"/>
    <d v="1983-11-08T00:00:00"/>
    <s v="F"/>
    <s v="US Citizen"/>
    <d v="2011-04-04T00:00:00"/>
    <d v="2013-01-09T00:00:00"/>
    <s v="career change"/>
    <s v="Voluntarily Terminated"/>
    <s v="Production"/>
    <s v="Ketsia Liebig"/>
    <x v="0"/>
    <x v="1"/>
  </r>
  <r>
    <s v="Forrest, Alex"/>
    <n v="10305"/>
    <n v="1"/>
    <n v="70187"/>
    <s v="Area Sales Manager"/>
    <d v="1975-07-07T00:00:00"/>
    <s v="M "/>
    <s v="US Citizen"/>
    <d v="2014-09-29T00:00:00"/>
    <d v="2018-08-19T00:00:00"/>
    <s v="Fatal attraction"/>
    <s v="Terminated for Cause"/>
    <s v="Sales"/>
    <s v="Lynn Daneault"/>
    <x v="1"/>
    <x v="12"/>
  </r>
  <r>
    <s v="Foss, Jason"/>
    <n v="10015"/>
    <n v="1"/>
    <n v="178000"/>
    <s v="IT Director"/>
    <d v="1980-07-05T00:00:00"/>
    <s v="M "/>
    <s v="US Citizen"/>
    <d v="2011-04-15T00:00:00"/>
    <m/>
    <s v="N/A-StillEmployed"/>
    <s v="Active"/>
    <s v="IT/IS"/>
    <s v="Jennifer Zamora"/>
    <x v="18"/>
    <x v="0"/>
  </r>
  <r>
    <s v="Foster-Baker, Amy"/>
    <n v="10080"/>
    <n v="0"/>
    <n v="99351"/>
    <s v="Sr. Accountant"/>
    <d v="1979-04-16T00:00:00"/>
    <s v="F"/>
    <s v="US Citizen"/>
    <d v="2009-01-05T00:00:00"/>
    <m/>
    <s v="N/A-StillEmployed"/>
    <s v="Active"/>
    <s v="Admin Offices"/>
    <s v="Board of Directors"/>
    <x v="5"/>
    <x v="7"/>
  </r>
  <r>
    <s v="Fraval, Maruk"/>
    <n v="10258"/>
    <n v="1"/>
    <n v="67251"/>
    <s v="Area Sales Manager"/>
    <d v="1963-08-28T00:00:00"/>
    <s v="M "/>
    <s v="US Citizen"/>
    <d v="2011-09-06T00:00:00"/>
    <m/>
    <s v="N/A-StillEmployed"/>
    <s v="Active"/>
    <s v="Sales"/>
    <s v="Lynn Daneault"/>
    <x v="19"/>
    <x v="0"/>
  </r>
  <r>
    <s v="Galia, Lisa"/>
    <n v="10273"/>
    <n v="0"/>
    <n v="65707"/>
    <s v="IT Support"/>
    <d v="1968-07-06T00:00:00"/>
    <s v="F"/>
    <s v="US Citizen"/>
    <d v="2010-05-01T00:00:00"/>
    <m/>
    <s v="N/A-StillEmployed"/>
    <s v="Active"/>
    <s v="IT/IS"/>
    <s v="Eric Dougall"/>
    <x v="31"/>
    <x v="15"/>
  </r>
  <r>
    <s v="Garcia, Raul"/>
    <n v="10111"/>
    <n v="1"/>
    <n v="52249"/>
    <s v="Production Technician I"/>
    <d v="1985-09-15T00:00:00"/>
    <s v="M "/>
    <s v="US Citizen"/>
    <d v="2015-03-30T00:00:00"/>
    <m/>
    <s v="N/A-StillEmployed"/>
    <s v="Active"/>
    <s v="Production"/>
    <s v="David Stanley"/>
    <x v="22"/>
    <x v="8"/>
  </r>
  <r>
    <s v="Gaul, Barbara"/>
    <n v="10257"/>
    <n v="0"/>
    <n v="53171"/>
    <s v="Production Technician I"/>
    <d v="1983-12-02T00:00:00"/>
    <s v="F"/>
    <s v="US Citizen"/>
    <d v="2011-05-16T00:00:00"/>
    <m/>
    <s v="N/A-StillEmployed"/>
    <s v="Active"/>
    <s v="Production"/>
    <s v="Kelley Spirea"/>
    <x v="0"/>
    <x v="0"/>
  </r>
  <r>
    <s v="Gentry, Mildred"/>
    <n v="10159"/>
    <n v="0"/>
    <n v="51337"/>
    <s v="Production Technician I"/>
    <d v="1990-10-01T00:00:00"/>
    <s v="F"/>
    <s v="US Citizen"/>
    <d v="2015-03-30T00:00:00"/>
    <m/>
    <s v="N/A-StillEmployed"/>
    <s v="Active"/>
    <s v="Production"/>
    <s v="Michael Albert"/>
    <x v="13"/>
    <x v="8"/>
  </r>
  <r>
    <s v="Gerke, Melisa"/>
    <n v="10122"/>
    <n v="0"/>
    <n v="51505"/>
    <s v="Production Technician I"/>
    <d v="1970-05-15T00:00:00"/>
    <s v="F"/>
    <s v="US Citizen"/>
    <d v="2011-11-07T00:00:00"/>
    <d v="2016-11-15T00:00:00"/>
    <s v="hours"/>
    <s v="Voluntarily Terminated"/>
    <s v="Production"/>
    <s v="Elijiah Gray"/>
    <x v="6"/>
    <x v="3"/>
  </r>
  <r>
    <s v="Gill, Whitney"/>
    <n v="10142"/>
    <n v="0"/>
    <n v="59370"/>
    <s v="Area Sales Manager"/>
    <d v="1971-07-10T00:00:00"/>
    <s v="F"/>
    <s v="US Citizen"/>
    <d v="2014-07-07T00:00:00"/>
    <d v="2015-09-05T00:00:00"/>
    <s v="attendance"/>
    <s v="Terminated for Cause"/>
    <s v="Sales"/>
    <s v="John Smith"/>
    <x v="11"/>
    <x v="1"/>
  </r>
  <r>
    <s v="Gilles, Alex"/>
    <n v="10283"/>
    <n v="1"/>
    <n v="54933"/>
    <s v="Production Technician I"/>
    <d v="1974-08-09T00:00:00"/>
    <s v="M "/>
    <s v="US Citizen"/>
    <d v="2012-04-02T00:00:00"/>
    <d v="2015-06-25T00:00:00"/>
    <s v="military"/>
    <s v="Voluntarily Terminated"/>
    <s v="Production"/>
    <s v="Webster Butler"/>
    <x v="7"/>
    <x v="12"/>
  </r>
  <r>
    <s v="Girifalco, Evelyn"/>
    <n v="10018"/>
    <n v="0"/>
    <n v="57815"/>
    <s v="Production Technician I"/>
    <d v="1980-05-08T00:00:00"/>
    <s v="F"/>
    <s v="US Citizen"/>
    <d v="2014-09-29T00:00:00"/>
    <m/>
    <s v="N/A-StillEmployed"/>
    <s v="Active"/>
    <s v="Production"/>
    <s v="Amy Dunn"/>
    <x v="18"/>
    <x v="5"/>
  </r>
  <r>
    <s v="Givens, Myriam"/>
    <n v="10255"/>
    <n v="0"/>
    <n v="61555"/>
    <s v="Area Sales Manager"/>
    <d v="1989-09-22T00:00:00"/>
    <s v="F"/>
    <s v="US Citizen"/>
    <d v="2015-02-16T00:00:00"/>
    <m/>
    <s v="N/A-StillEmployed"/>
    <s v="Active"/>
    <s v="Sales"/>
    <s v="Lynn Daneault"/>
    <x v="3"/>
    <x v="8"/>
  </r>
  <r>
    <s v="Goble, Taisha"/>
    <n v="10246"/>
    <n v="0"/>
    <n v="114800"/>
    <s v="Database Administrator"/>
    <d v="1971-10-23T00:00:00"/>
    <s v="F"/>
    <s v="US Citizen"/>
    <d v="2015-02-16T00:00:00"/>
    <d v="2015-03-15T00:00:00"/>
    <s v="no-call, no-show"/>
    <s v="Terminated for Cause"/>
    <s v="IT/IS"/>
    <s v="Simon Roup"/>
    <x v="11"/>
    <x v="14"/>
  </r>
  <r>
    <s v="Goeth, Amon"/>
    <n v="10228"/>
    <n v="1"/>
    <n v="74679"/>
    <s v="IT Support"/>
    <d v="1989-11-24T00:00:00"/>
    <s v="M "/>
    <s v="US Citizen"/>
    <d v="2015-03-30T00:00:00"/>
    <m/>
    <s v="N/A-StillEmployed"/>
    <s v="Active"/>
    <s v="IT/IS"/>
    <s v="Peter Monroe"/>
    <x v="3"/>
    <x v="8"/>
  </r>
  <r>
    <s v="Gold, Shenice"/>
    <n v="10243"/>
    <n v="0"/>
    <n v="53018"/>
    <s v="Production Technician I"/>
    <d v="1992-06-18T00:00:00"/>
    <s v="F"/>
    <s v="US Citizen"/>
    <d v="2013-11-11T00:00:00"/>
    <m/>
    <s v="N/A-StillEmployed"/>
    <s v="Active"/>
    <s v="Production"/>
    <s v="Ketsia Liebig"/>
    <x v="32"/>
    <x v="6"/>
  </r>
  <r>
    <s v="Gonzalez, Cayo"/>
    <n v="10031"/>
    <n v="1"/>
    <n v="59892"/>
    <s v="Production Technician I"/>
    <d v="1969-09-29T00:00:00"/>
    <s v="M "/>
    <s v="US Citizen"/>
    <d v="2011-07-11T00:00:00"/>
    <m/>
    <s v="N/A-StillEmployed"/>
    <s v="Active"/>
    <s v="Production"/>
    <s v="Brannon Miller"/>
    <x v="17"/>
    <x v="0"/>
  </r>
  <r>
    <s v="Gonzalez, Juan"/>
    <n v="10300"/>
    <n v="1"/>
    <n v="68898"/>
    <s v="Production Technician II"/>
    <d v="1964-10-12T00:00:00"/>
    <s v="M "/>
    <s v="US Citizen"/>
    <d v="2010-04-26T00:00:00"/>
    <d v="2011-05-30T00:00:00"/>
    <s v="career change"/>
    <s v="Voluntarily Terminated"/>
    <s v="Production"/>
    <s v="Brannon Miller"/>
    <x v="15"/>
    <x v="1"/>
  </r>
  <r>
    <s v="Gonzalez, Maria"/>
    <n v="10101"/>
    <n v="0"/>
    <n v="61242"/>
    <s v="IT Support"/>
    <d v="1981-04-16T00:00:00"/>
    <s v="F"/>
    <s v="US Citizen"/>
    <d v="2015-01-05T00:00:00"/>
    <m/>
    <s v="N/A-StillEmployed"/>
    <s v="Active"/>
    <s v="IT/IS"/>
    <s v="Peter Monroe"/>
    <x v="8"/>
    <x v="8"/>
  </r>
  <r>
    <s v="Good, Susan"/>
    <n v="10237"/>
    <n v="0"/>
    <n v="66825"/>
    <s v="Production Technician II"/>
    <d v="1986-05-25T00:00:00"/>
    <s v="F"/>
    <s v="US Citizen"/>
    <d v="2014-05-12T00:00:00"/>
    <m/>
    <s v="N/A-StillEmployed"/>
    <s v="Active"/>
    <s v="Production"/>
    <s v="David Stanley"/>
    <x v="10"/>
    <x v="5"/>
  </r>
  <r>
    <s v="Gordon, David"/>
    <n v="10051"/>
    <n v="1"/>
    <n v="48285"/>
    <s v="Production Technician I"/>
    <d v="1979-05-21T00:00:00"/>
    <s v="M "/>
    <s v="US Citizen"/>
    <d v="2012-07-02T00:00:00"/>
    <m/>
    <s v="N/A-StillEmployed"/>
    <s v="Active"/>
    <s v="Production"/>
    <s v="David Stanley"/>
    <x v="5"/>
    <x v="4"/>
  </r>
  <r>
    <s v="Gosciminski, Phylicia"/>
    <n v="10218"/>
    <n v="0"/>
    <n v="66149"/>
    <s v="Production Technician II"/>
    <d v="1983-12-08T00:00:00"/>
    <s v="F"/>
    <s v="US Citizen"/>
    <d v="2013-09-30T00:00:00"/>
    <m/>
    <s v="N/A-StillEmployed"/>
    <s v="Active"/>
    <s v="Production"/>
    <s v="Kissy Sullivan"/>
    <x v="0"/>
    <x v="6"/>
  </r>
  <r>
    <s v="Goyal, Roxana"/>
    <n v="10256"/>
    <n v="0"/>
    <n v="49256"/>
    <s v="Production Technician I"/>
    <d v="1974-10-09T00:00:00"/>
    <s v="F"/>
    <s v="US Citizen"/>
    <d v="2013-08-19T00:00:00"/>
    <m/>
    <s v="N/A-StillEmployed"/>
    <s v="Active"/>
    <s v="Production"/>
    <s v="Kissy Sullivan"/>
    <x v="7"/>
    <x v="6"/>
  </r>
  <r>
    <s v="Gray, Elijiah"/>
    <n v="10098"/>
    <n v="1"/>
    <n v="62957"/>
    <s v="Production Manager"/>
    <d v="1981-07-11T00:00:00"/>
    <s v="M "/>
    <s v="US Citizen"/>
    <d v="2015-06-02T00:00:00"/>
    <m/>
    <s v="N/A-StillEmployed"/>
    <s v="Active"/>
    <s v="Production"/>
    <s v="Janet King"/>
    <x v="8"/>
    <x v="8"/>
  </r>
  <r>
    <s v="Gross, Paula"/>
    <n v="10059"/>
    <n v="0"/>
    <n v="63813"/>
    <s v="Production Technician I"/>
    <d v="1983-05-21T00:00:00"/>
    <s v="F"/>
    <s v="US Citizen"/>
    <d v="2011-02-21T00:00:00"/>
    <d v="2014-01-11T00:00:00"/>
    <s v="more money"/>
    <s v="Voluntarily Terminated"/>
    <s v="Production"/>
    <s v="Kelley Spirea"/>
    <x v="0"/>
    <x v="13"/>
  </r>
  <r>
    <s v="Gruber, Hans"/>
    <n v="10234"/>
    <n v="1"/>
    <n v="99020"/>
    <s v="BI Developer"/>
    <d v="1989-06-30T00:00:00"/>
    <s v="M "/>
    <s v="US Citizen"/>
    <d v="2017-04-20T00:00:00"/>
    <m/>
    <s v="N/A-StillEmployed"/>
    <s v="Active"/>
    <s v="IT/IS"/>
    <s v="Brian Champaigne"/>
    <x v="3"/>
    <x v="17"/>
  </r>
  <r>
    <s v="Guilianno, Mike"/>
    <n v="10109"/>
    <n v="1"/>
    <n v="71707"/>
    <s v="Area Sales Manager"/>
    <d v="1969-02-09T00:00:00"/>
    <s v="M "/>
    <s v="US Citizen"/>
    <d v="2012-03-07T00:00:00"/>
    <d v="2014-10-31T00:00:00"/>
    <s v="relocation out of area"/>
    <s v="Voluntarily Terminated"/>
    <s v="Sales"/>
    <s v="John Smith"/>
    <x v="17"/>
    <x v="13"/>
  </r>
  <r>
    <s v="Handschiegl, Joanne"/>
    <n v="10125"/>
    <n v="0"/>
    <n v="54828"/>
    <s v="Production Technician I"/>
    <d v="1977-03-23T00:00:00"/>
    <s v="F"/>
    <s v="US Citizen"/>
    <d v="2011-11-28T00:00:00"/>
    <m/>
    <s v="N/A-StillEmployed"/>
    <s v="Active"/>
    <s v="Production"/>
    <s v="Michael Albert"/>
    <x v="4"/>
    <x v="0"/>
  </r>
  <r>
    <s v="Hankard, Earnest"/>
    <n v="10074"/>
    <n v="1"/>
    <n v="64246"/>
    <s v="Production Technician II"/>
    <d v="1988-08-10T00:00:00"/>
    <s v="M "/>
    <s v="US Citizen"/>
    <d v="2013-11-11T00:00:00"/>
    <m/>
    <s v="N/A-StillEmployed"/>
    <s v="Active"/>
    <s v="Production"/>
    <s v="Kelley Spirea"/>
    <x v="2"/>
    <x v="6"/>
  </r>
  <r>
    <s v="Harrington, Christie"/>
    <n v="10097"/>
    <n v="0"/>
    <n v="52177"/>
    <s v="Production Technician I"/>
    <d v="1952-08-18T00:00:00"/>
    <s v="F"/>
    <s v="US Citizen"/>
    <d v="2012-01-09T00:00:00"/>
    <d v="2015-12-15T00:00:00"/>
    <s v="retiring"/>
    <s v="Voluntarily Terminated"/>
    <s v="Production"/>
    <s v="Webster Butler"/>
    <x v="26"/>
    <x v="12"/>
  </r>
  <r>
    <s v="Harrison, Kara"/>
    <n v="10007"/>
    <n v="0"/>
    <n v="62065"/>
    <s v="Production Technician I"/>
    <d v="1974-05-02T00:00:00"/>
    <s v="F"/>
    <s v="US Citizen"/>
    <d v="2014-05-12T00:00:00"/>
    <m/>
    <s v="N/A-StillEmployed"/>
    <s v="Active"/>
    <s v="Production"/>
    <s v="Amy Dunn"/>
    <x v="7"/>
    <x v="5"/>
  </r>
  <r>
    <s v="Heitzman, Anthony"/>
    <n v="10129"/>
    <n v="1"/>
    <n v="46998"/>
    <s v="Production Technician I"/>
    <d v="1984-01-04T00:00:00"/>
    <s v="M "/>
    <s v="US Citizen"/>
    <d v="2012-08-13T00:00:00"/>
    <m/>
    <s v="N/A-StillEmployed"/>
    <s v="Active"/>
    <s v="Production"/>
    <s v="Ketsia Liebig"/>
    <x v="33"/>
    <x v="4"/>
  </r>
  <r>
    <s v="Hendrickson, Trina"/>
    <n v="10075"/>
    <n v="0"/>
    <n v="68099"/>
    <s v="Production Technician II"/>
    <d v="1972-08-27T00:00:00"/>
    <s v="F"/>
    <s v="US Citizen"/>
    <d v="2011-01-10T00:00:00"/>
    <d v="2013-06-18T00:00:00"/>
    <s v="hours"/>
    <s v="Voluntarily Terminated"/>
    <s v="Production"/>
    <s v="Kelley Spirea"/>
    <x v="21"/>
    <x v="13"/>
  </r>
  <r>
    <s v="Hitchcock, Alfred"/>
    <n v="10167"/>
    <n v="1"/>
    <n v="70545"/>
    <s v="Area Sales Manager"/>
    <d v="1988-09-14T00:00:00"/>
    <s v="M "/>
    <s v="US Citizen"/>
    <d v="2014-08-18T00:00:00"/>
    <m/>
    <s v="N/A-StillEmployed"/>
    <s v="Active"/>
    <s v="Sales"/>
    <s v="John Smith"/>
    <x v="2"/>
    <x v="5"/>
  </r>
  <r>
    <s v="Homberger, Adrienne  J"/>
    <n v="10195"/>
    <n v="0"/>
    <n v="63478"/>
    <s v="Production Technician II"/>
    <d v="1984-02-16T00:00:00"/>
    <s v="F"/>
    <s v="Non-Citizen"/>
    <d v="2011-08-15T00:00:00"/>
    <d v="2012-04-07T00:00:00"/>
    <s v="relocation out of area"/>
    <s v="Voluntarily Terminated"/>
    <s v="Production"/>
    <s v="Michael Albert"/>
    <x v="33"/>
    <x v="14"/>
  </r>
  <r>
    <s v="Horton, Jayne"/>
    <n v="10112"/>
    <n v="0"/>
    <n v="97999"/>
    <s v="Database Administrator"/>
    <d v="1984-02-21T00:00:00"/>
    <s v="F"/>
    <s v="US Citizen"/>
    <d v="2015-03-30T00:00:00"/>
    <m/>
    <s v="N/A-StillEmployed"/>
    <s v="Active"/>
    <s v="IT/IS"/>
    <s v="Simon Roup"/>
    <x v="33"/>
    <x v="8"/>
  </r>
  <r>
    <s v="Houlihan, Debra"/>
    <n v="10272"/>
    <n v="0"/>
    <n v="180000"/>
    <s v="Director of Sales"/>
    <d v="1966-03-17T00:00:00"/>
    <s v="F"/>
    <s v="US Citizen"/>
    <d v="2014-05-05T00:00:00"/>
    <m/>
    <s v="N/A-StillEmployed"/>
    <s v="Active"/>
    <s v="Sales"/>
    <s v="Janet King"/>
    <x v="9"/>
    <x v="5"/>
  </r>
  <r>
    <s v="Howard, Estelle"/>
    <n v="10182"/>
    <n v="0"/>
    <n v="49920"/>
    <s v="Administrative Assistant"/>
    <d v="1985-09-16T00:00:00"/>
    <s v="F"/>
    <s v="US Citizen"/>
    <d v="2015-02-16T00:00:00"/>
    <d v="2015-04-15T00:00:00"/>
    <s v="no-call, no-show"/>
    <s v="Terminated for Cause"/>
    <s v="Admin Offices"/>
    <s v="Brandon R. LeBlanc"/>
    <x v="22"/>
    <x v="14"/>
  </r>
  <r>
    <s v="Hudson, Jane"/>
    <n v="10248"/>
    <n v="0"/>
    <n v="55425"/>
    <s v="Production Technician I"/>
    <d v="1986-06-10T00:00:00"/>
    <s v="F"/>
    <s v="US Citizen"/>
    <d v="2012-02-20T00:00:00"/>
    <m/>
    <s v="N/A-StillEmployed"/>
    <s v="Active"/>
    <s v="Production"/>
    <s v="Ketsia Liebig"/>
    <x v="10"/>
    <x v="4"/>
  </r>
  <r>
    <s v="Hunts, Julissa"/>
    <n v="10201"/>
    <n v="0"/>
    <n v="69340"/>
    <s v="Production Technician II"/>
    <d v="1984-03-11T00:00:00"/>
    <s v="F"/>
    <s v="US Citizen"/>
    <d v="2016-06-06T00:00:00"/>
    <m/>
    <s v="N/A-StillEmployed"/>
    <s v="Active"/>
    <s v="Production"/>
    <s v="Elijiah Gray"/>
    <x v="33"/>
    <x v="11"/>
  </r>
  <r>
    <s v="Hutter, Rosalie"/>
    <n v="10214"/>
    <n v="0"/>
    <n v="64995"/>
    <s v="Production Technician II"/>
    <d v="1992-05-07T00:00:00"/>
    <s v="F"/>
    <s v="US Citizen"/>
    <d v="2015-06-05T00:00:00"/>
    <m/>
    <s v="N/A-StillEmployed"/>
    <s v="Active"/>
    <s v="Production"/>
    <s v="Webster Butler"/>
    <x v="32"/>
    <x v="8"/>
  </r>
  <r>
    <s v="Huynh, Ming"/>
    <n v="10160"/>
    <n v="0"/>
    <n v="68182"/>
    <s v="Production Technician II"/>
    <d v="1976-09-22T00:00:00"/>
    <s v="F"/>
    <s v="US Citizen"/>
    <d v="2011-02-21T00:00:00"/>
    <d v="2013-04-01T00:00:00"/>
    <s v="unhappy"/>
    <s v="Voluntarily Terminated"/>
    <s v="Production"/>
    <s v="Amy Dunn"/>
    <x v="24"/>
    <x v="13"/>
  </r>
  <r>
    <s v="Immediato, Walter"/>
    <n v="10289"/>
    <n v="1"/>
    <n v="83082"/>
    <s v="Production Manager"/>
    <d v="1976-11-15T00:00:00"/>
    <s v="M "/>
    <s v="US Citizen"/>
    <d v="2011-02-21T00:00:00"/>
    <d v="2012-09-24T00:00:00"/>
    <s v="unhappy"/>
    <s v="Voluntarily Terminated"/>
    <s v="Production"/>
    <s v="Janet King"/>
    <x v="24"/>
    <x v="1"/>
  </r>
  <r>
    <s v="Ivey, Rose"/>
    <n v="10139"/>
    <n v="0"/>
    <n v="51908"/>
    <s v="Production Technician I"/>
    <d v="1991-01-28T00:00:00"/>
    <s v="F"/>
    <s v="US Citizen"/>
    <d v="2013-08-19T00:00:00"/>
    <m/>
    <s v="N/A-StillEmployed"/>
    <s v="Active"/>
    <s v="Production"/>
    <s v="Brannon Miller"/>
    <x v="29"/>
    <x v="6"/>
  </r>
  <r>
    <s v="Jackson, Maryellen"/>
    <n v="10227"/>
    <n v="0"/>
    <n v="61242"/>
    <s v="Production Technician I"/>
    <d v="1972-09-11T00:00:00"/>
    <s v="F"/>
    <s v="US Citizen"/>
    <d v="2012-11-05T00:00:00"/>
    <m/>
    <s v="N/A-StillEmployed"/>
    <s v="Active"/>
    <s v="Production"/>
    <s v="David Stanley"/>
    <x v="21"/>
    <x v="4"/>
  </r>
  <r>
    <s v="Jacobi, Hannah"/>
    <n v="10236"/>
    <n v="0"/>
    <n v="45069"/>
    <s v="Production Technician I"/>
    <d v="1966-03-22T00:00:00"/>
    <s v="F"/>
    <s v="US Citizen"/>
    <d v="2013-09-30T00:00:00"/>
    <m/>
    <s v="N/A-StillEmployed"/>
    <s v="Active"/>
    <s v="Production"/>
    <s v="Kissy Sullivan"/>
    <x v="9"/>
    <x v="6"/>
  </r>
  <r>
    <s v="Jeannite, Tayana"/>
    <n v="10009"/>
    <n v="0"/>
    <n v="60724"/>
    <s v="Production Technician II"/>
    <d v="1986-11-06T00:00:00"/>
    <s v="F"/>
    <s v="US Citizen"/>
    <d v="2011-07-05T00:00:00"/>
    <m/>
    <s v="N/A-StillEmployed"/>
    <s v="Active"/>
    <s v="Production"/>
    <s v="Ketsia Liebig"/>
    <x v="10"/>
    <x v="0"/>
  </r>
  <r>
    <s v="Jhaveri, Sneha"/>
    <n v="10060"/>
    <n v="0"/>
    <n v="60436"/>
    <s v="Production Technician I"/>
    <d v="1964-04-13T00:00:00"/>
    <s v="F"/>
    <s v="US Citizen"/>
    <d v="2014-01-06T00:00:00"/>
    <m/>
    <s v="N/A-StillEmployed"/>
    <s v="Active"/>
    <s v="Production"/>
    <s v="Kelley Spirea"/>
    <x v="15"/>
    <x v="5"/>
  </r>
  <r>
    <s v="Johnson, George"/>
    <n v="10034"/>
    <n v="1"/>
    <n v="46837"/>
    <s v="Production Technician I"/>
    <d v="1959-08-19T00:00:00"/>
    <s v="M "/>
    <s v="US Citizen"/>
    <d v="2011-11-07T00:00:00"/>
    <d v="2018-04-29T00:00:00"/>
    <s v="more money"/>
    <s v="Voluntarily Terminated"/>
    <s v="Production"/>
    <s v="Michael Albert"/>
    <x v="12"/>
    <x v="9"/>
  </r>
  <r>
    <s v="Johnson, Noelle"/>
    <n v="10156"/>
    <n v="0"/>
    <n v="105700"/>
    <s v="Database Administrator"/>
    <d v="1986-11-07T00:00:00"/>
    <s v="F"/>
    <s v="US Citizen"/>
    <d v="2015-01-05T00:00:00"/>
    <m/>
    <s v="N/A-StillEmployed"/>
    <s v="Active"/>
    <s v="IT/IS"/>
    <s v="Simon Roup"/>
    <x v="10"/>
    <x v="8"/>
  </r>
  <r>
    <s v="Johnston, Yen"/>
    <n v="10036"/>
    <n v="0"/>
    <n v="63322"/>
    <s v="Production Technician II"/>
    <d v="1969-09-08T00:00:00"/>
    <s v="F"/>
    <s v="US Citizen"/>
    <d v="2014-07-07T00:00:00"/>
    <m/>
    <s v="N/A-StillEmployed"/>
    <s v="Active"/>
    <s v="Production"/>
    <s v="Brannon Miller"/>
    <x v="17"/>
    <x v="5"/>
  </r>
  <r>
    <s v="Jung, Judy"/>
    <n v="10138"/>
    <n v="0"/>
    <n v="61154"/>
    <s v="Production Technician I"/>
    <d v="1986-04-17T00:00:00"/>
    <s v="F"/>
    <s v="US Citizen"/>
    <d v="2011-01-10T00:00:00"/>
    <d v="2016-04-01T00:00:00"/>
    <s v="unhappy"/>
    <s v="Voluntarily Terminated"/>
    <s v="Production"/>
    <s v="Elijiah Gray"/>
    <x v="10"/>
    <x v="3"/>
  </r>
  <r>
    <s v="Kampew, Donysha"/>
    <n v="10244"/>
    <n v="0"/>
    <n v="68999"/>
    <s v="Sales Manager"/>
    <d v="1989-11-11T00:00:00"/>
    <s v="F"/>
    <s v="US Citizen"/>
    <d v="2011-11-07T00:00:00"/>
    <d v="2014-04-24T00:00:00"/>
    <s v="maternity leave - did not return"/>
    <s v="Voluntarily Terminated"/>
    <s v="Sales"/>
    <s v="Debra Houlihan"/>
    <x v="3"/>
    <x v="13"/>
  </r>
  <r>
    <s v="Keatts, Kramer"/>
    <n v="10192"/>
    <n v="1"/>
    <n v="50482"/>
    <s v="Production Technician I"/>
    <d v="1976-01-19T00:00:00"/>
    <s v="M "/>
    <s v="US Citizen"/>
    <d v="2013-09-30T00:00:00"/>
    <m/>
    <s v="N/A-StillEmployed"/>
    <s v="Active"/>
    <s v="Production"/>
    <s v="Michael Albert"/>
    <x v="24"/>
    <x v="6"/>
  </r>
  <r>
    <s v="Khemmich, Bartholemew"/>
    <n v="10231"/>
    <n v="1"/>
    <n v="65310"/>
    <s v="Area Sales Manager"/>
    <d v="1979-11-27T00:00:00"/>
    <s v="M "/>
    <s v="US Citizen"/>
    <d v="2013-08-19T00:00:00"/>
    <m/>
    <s v="N/A-StillEmployed"/>
    <s v="Active"/>
    <s v="Sales"/>
    <s v="Lynn Daneault"/>
    <x v="5"/>
    <x v="6"/>
  </r>
  <r>
    <s v="King, Janet"/>
    <n v="10089"/>
    <n v="0"/>
    <n v="250000"/>
    <s v="President &amp; CEO"/>
    <d v="1954-09-21T00:00:00"/>
    <s v="F"/>
    <s v="US Citizen"/>
    <d v="2012-07-02T00:00:00"/>
    <m/>
    <s v="N/A-StillEmployed"/>
    <s v="Active"/>
    <s v="Executive Office"/>
    <s v="Board of Directors"/>
    <x v="34"/>
    <x v="4"/>
  </r>
  <r>
    <s v="Kinsella, Kathleen"/>
    <n v="10166"/>
    <n v="0"/>
    <n v="54005"/>
    <s v="Production Technician I"/>
    <d v="1973-12-08T00:00:00"/>
    <s v="F"/>
    <s v="US Citizen"/>
    <d v="2011-09-26T00:00:00"/>
    <d v="2015-06-04T00:00:00"/>
    <s v="more money"/>
    <s v="Voluntarily Terminated"/>
    <s v="Production"/>
    <s v="Webster Butler"/>
    <x v="28"/>
    <x v="12"/>
  </r>
  <r>
    <s v="Kirill, Alexandra"/>
    <n v="10170"/>
    <n v="0"/>
    <n v="45433"/>
    <s v="Production Technician I"/>
    <d v="1970-10-08T00:00:00"/>
    <s v="F"/>
    <s v="US Citizen"/>
    <d v="2011-09-26T00:00:00"/>
    <d v="2014-01-09T00:00:00"/>
    <s v="more money"/>
    <s v="Voluntarily Terminated"/>
    <s v="Production"/>
    <s v="Amy Dunn"/>
    <x v="6"/>
    <x v="13"/>
  </r>
  <r>
    <s v="Knapp, Bradley  J"/>
    <n v="10208"/>
    <n v="1"/>
    <n v="46654"/>
    <s v="Production Technician I"/>
    <d v="1977-11-10T00:00:00"/>
    <s v="M "/>
    <s v="US Citizen"/>
    <d v="2014-02-17T00:00:00"/>
    <m/>
    <s v="N/A-StillEmployed"/>
    <s v="Active"/>
    <s v="Production"/>
    <s v="Ketsia Liebig"/>
    <x v="4"/>
    <x v="5"/>
  </r>
  <r>
    <s v="Kretschmer, John"/>
    <n v="10176"/>
    <n v="1"/>
    <n v="63973"/>
    <s v="Production Technician I"/>
    <d v="1980-02-02T00:00:00"/>
    <s v="M "/>
    <s v="US Citizen"/>
    <d v="2011-01-10T00:00:00"/>
    <m/>
    <s v="N/A-StillEmployed"/>
    <s v="Active"/>
    <s v="Production"/>
    <s v="Brannon Miller"/>
    <x v="18"/>
    <x v="0"/>
  </r>
  <r>
    <s v="Kreuger, Freddy"/>
    <n v="10165"/>
    <n v="1"/>
    <n v="71339"/>
    <s v="Area Sales Manager"/>
    <d v="1969-02-24T00:00:00"/>
    <s v="M "/>
    <s v="US Citizen"/>
    <d v="2011-03-07T00:00:00"/>
    <m/>
    <s v="N/A-StillEmployed"/>
    <s v="Active"/>
    <s v="Sales"/>
    <s v="John Smith"/>
    <x v="17"/>
    <x v="0"/>
  </r>
  <r>
    <s v="Lajiri,  Jyoti"/>
    <n v="10113"/>
    <n v="1"/>
    <n v="93206"/>
    <s v="Sr. Network Engineer"/>
    <d v="1986-04-23T00:00:00"/>
    <s v="M "/>
    <s v="US Citizen"/>
    <d v="2014-11-10T00:00:00"/>
    <m/>
    <s v="N/A-StillEmployed"/>
    <s v="Active"/>
    <s v="IT/IS"/>
    <s v="Peter Monroe"/>
    <x v="10"/>
    <x v="5"/>
  </r>
  <r>
    <s v="Landa, Hans"/>
    <n v="10092"/>
    <n v="1"/>
    <n v="82758"/>
    <s v="Production Manager"/>
    <d v="1972-07-01T00:00:00"/>
    <s v="M "/>
    <s v="US Citizen"/>
    <d v="2011-01-10T00:00:00"/>
    <d v="2015-12-12T00:00:00"/>
    <s v="attendance"/>
    <s v="Terminated for Cause"/>
    <s v="Production"/>
    <s v="Janet King"/>
    <x v="21"/>
    <x v="10"/>
  </r>
  <r>
    <s v="Langford, Lindsey"/>
    <n v="10106"/>
    <n v="0"/>
    <n v="66074"/>
    <s v="Production Technician II"/>
    <d v="1979-07-25T00:00:00"/>
    <s v="F"/>
    <s v="US Citizen"/>
    <d v="2013-01-07T00:00:00"/>
    <d v="2014-03-31T00:00:00"/>
    <s v="Another position"/>
    <s v="Voluntarily Terminated"/>
    <s v="Production"/>
    <s v="David Stanley"/>
    <x v="5"/>
    <x v="1"/>
  </r>
  <r>
    <s v="Langton, Enrico"/>
    <n v="10052"/>
    <n v="1"/>
    <n v="46120"/>
    <s v="Production Technician I"/>
    <d v="1986-12-09T00:00:00"/>
    <s v="M "/>
    <s v="US Citizen"/>
    <d v="2012-07-09T00:00:00"/>
    <m/>
    <s v="N/A-StillEmployed"/>
    <s v="Active"/>
    <s v="Production"/>
    <s v="David Stanley"/>
    <x v="10"/>
    <x v="4"/>
  </r>
  <r>
    <s v="LaRotonda, William"/>
    <n v="10038"/>
    <n v="1"/>
    <n v="64520"/>
    <s v="Accountant I"/>
    <d v="1984-04-26T00:00:00"/>
    <s v="M "/>
    <s v="US Citizen"/>
    <d v="2014-01-06T00:00:00"/>
    <m/>
    <s v="N/A-StillEmployed"/>
    <s v="Active"/>
    <s v="Admin Offices"/>
    <s v="Brandon R. LeBlanc"/>
    <x v="33"/>
    <x v="5"/>
  </r>
  <r>
    <s v="Latif, Mohammed"/>
    <n v="10249"/>
    <n v="1"/>
    <n v="61962"/>
    <s v="Production Technician II"/>
    <d v="1984-05-09T00:00:00"/>
    <s v="M "/>
    <s v="US Citizen"/>
    <d v="2012-04-02T00:00:00"/>
    <d v="2013-04-15T00:00:00"/>
    <s v="more money"/>
    <s v="Voluntarily Terminated"/>
    <s v="Production"/>
    <s v="Kissy Sullivan"/>
    <x v="33"/>
    <x v="1"/>
  </r>
  <r>
    <s v="Le, Binh"/>
    <n v="10232"/>
    <n v="0"/>
    <n v="81584"/>
    <s v="Senior BI Developer"/>
    <d v="1987-06-14T00:00:00"/>
    <s v="F"/>
    <s v="US Citizen"/>
    <d v="2016-10-02T00:00:00"/>
    <m/>
    <s v="N/A-StillEmployed"/>
    <s v="Active"/>
    <s v="IT/IS"/>
    <s v="Brian Champaigne"/>
    <x v="16"/>
    <x v="11"/>
  </r>
  <r>
    <s v="Leach, Dallas"/>
    <n v="10087"/>
    <n v="0"/>
    <n v="63676"/>
    <s v="Production Technician I"/>
    <d v="1979-01-17T00:00:00"/>
    <s v="F"/>
    <s v="US Citizen"/>
    <d v="2011-09-26T00:00:00"/>
    <d v="2018-08-19T00:00:00"/>
    <s v="return to school"/>
    <s v="Voluntarily Terminated"/>
    <s v="Production"/>
    <s v="Kissy Sullivan"/>
    <x v="5"/>
    <x v="9"/>
  </r>
  <r>
    <s v="LeBlanc, Brandon  R"/>
    <n v="10134"/>
    <n v="1"/>
    <n v="93046"/>
    <s v="Shared Services Manager"/>
    <d v="1984-06-10T00:00:00"/>
    <s v="M "/>
    <s v="US Citizen"/>
    <d v="2016-01-05T00:00:00"/>
    <m/>
    <s v="N/A-StillEmployed"/>
    <s v="Active"/>
    <s v="Admin Offices"/>
    <s v="Janet King"/>
    <x v="33"/>
    <x v="11"/>
  </r>
  <r>
    <s v="Lecter, Hannibal"/>
    <n v="10251"/>
    <n v="1"/>
    <n v="64738"/>
    <s v="Production Technician I"/>
    <d v="1982-09-02T00:00:00"/>
    <s v="M "/>
    <s v="US Citizen"/>
    <d v="2012-05-14T00:00:00"/>
    <m/>
    <s v="N/A-StillEmployed"/>
    <s v="Active"/>
    <s v="Production"/>
    <s v="Elijiah Gray"/>
    <x v="27"/>
    <x v="4"/>
  </r>
  <r>
    <s v="Leruth, Giovanni"/>
    <n v="10103"/>
    <n v="1"/>
    <n v="70468"/>
    <s v="Area Sales Manager"/>
    <d v="1988-12-27T00:00:00"/>
    <s v="M "/>
    <s v="US Citizen"/>
    <d v="2012-04-30T00:00:00"/>
    <m/>
    <s v="N/A-StillEmployed"/>
    <s v="Active"/>
    <s v="Sales"/>
    <s v="John Smith"/>
    <x v="3"/>
    <x v="4"/>
  </r>
  <r>
    <s v="Liebig, Ketsia"/>
    <n v="10017"/>
    <n v="0"/>
    <n v="77915"/>
    <s v="Production Manager"/>
    <d v="1981-10-26T00:00:00"/>
    <s v="F"/>
    <s v="US Citizen"/>
    <d v="2013-09-30T00:00:00"/>
    <m/>
    <s v="N/A-StillEmployed"/>
    <s v="Active"/>
    <s v="Production"/>
    <s v="Janet King"/>
    <x v="8"/>
    <x v="6"/>
  </r>
  <r>
    <s v="Linares, Marilyn"/>
    <n v="10186"/>
    <n v="0"/>
    <n v="52624"/>
    <s v="Production Technician I"/>
    <d v="1981-03-26T00:00:00"/>
    <s v="F"/>
    <s v="US Citizen"/>
    <d v="2011-07-05T00:00:00"/>
    <d v="2018-09-26T00:00:00"/>
    <s v="unhappy"/>
    <s v="Voluntarily Terminated"/>
    <s v="Production"/>
    <s v="Michael Albert"/>
    <x v="8"/>
    <x v="16"/>
  </r>
  <r>
    <s v="Linden, Mathew"/>
    <n v="10137"/>
    <n v="1"/>
    <n v="63450"/>
    <s v="Production Technician II"/>
    <d v="1979-03-19T00:00:00"/>
    <s v="M "/>
    <s v="US Citizen"/>
    <d v="2013-07-08T00:00:00"/>
    <m/>
    <s v="N/A-StillEmployed"/>
    <s v="Active"/>
    <s v="Production"/>
    <s v="Kelley Spirea"/>
    <x v="5"/>
    <x v="6"/>
  </r>
  <r>
    <s v="Lindsay, Leonara"/>
    <n v="10008"/>
    <n v="0"/>
    <n v="51777"/>
    <s v="IT Support"/>
    <d v="1988-10-05T00:00:00"/>
    <s v="F"/>
    <s v="US Citizen"/>
    <d v="2011-01-21T00:00:00"/>
    <m/>
    <s v="N/A-StillEmployed"/>
    <s v="Active"/>
    <s v="IT/IS"/>
    <s v="Eric Dougall"/>
    <x v="2"/>
    <x v="0"/>
  </r>
  <r>
    <s v="Lundy, Susan"/>
    <n v="10096"/>
    <n v="0"/>
    <n v="67237"/>
    <s v="Production Technician II"/>
    <d v="1976-12-26T00:00:00"/>
    <s v="F"/>
    <s v="US Citizen"/>
    <d v="2013-07-08T00:00:00"/>
    <d v="2016-09-15T00:00:00"/>
    <s v="more money"/>
    <s v="Voluntarily Terminated"/>
    <s v="Production"/>
    <s v="Michael Albert"/>
    <x v="4"/>
    <x v="12"/>
  </r>
  <r>
    <s v="Lunquist, Lisa"/>
    <n v="10035"/>
    <n v="0"/>
    <n v="73330"/>
    <s v="Production Technician II"/>
    <d v="1982-03-28T00:00:00"/>
    <s v="F"/>
    <s v="US Citizen"/>
    <d v="2013-08-19T00:00:00"/>
    <m/>
    <s v="N/A-StillEmployed"/>
    <s v="Active"/>
    <s v="Production"/>
    <s v="Elijiah Gray"/>
    <x v="27"/>
    <x v="6"/>
  </r>
  <r>
    <s v="Lydon, Allison"/>
    <n v="10057"/>
    <n v="0"/>
    <n v="52057"/>
    <s v="Production Technician I"/>
    <d v="1975-10-22T00:00:00"/>
    <s v="F"/>
    <s v="US Citizen"/>
    <d v="2015-02-16T00:00:00"/>
    <m/>
    <s v="N/A-StillEmployed"/>
    <s v="Active"/>
    <s v="Production"/>
    <s v="Elijiah Gray"/>
    <x v="1"/>
    <x v="8"/>
  </r>
  <r>
    <s v="Lynch, Lindsay"/>
    <n v="10004"/>
    <n v="0"/>
    <n v="47434"/>
    <s v="Production Technician I"/>
    <d v="1973-02-14T00:00:00"/>
    <s v="F"/>
    <s v="US Citizen"/>
    <d v="2011-11-07T00:00:00"/>
    <d v="2015-11-14T00:00:00"/>
    <s v="Another position"/>
    <s v="Voluntarily Terminated"/>
    <s v="Production"/>
    <s v="Webster Butler"/>
    <x v="28"/>
    <x v="10"/>
  </r>
  <r>
    <s v="MacLennan, Samuel"/>
    <n v="10191"/>
    <n v="1"/>
    <n v="52788"/>
    <s v="Production Technician I"/>
    <d v="1972-11-09T00:00:00"/>
    <s v="M "/>
    <s v="US Citizen"/>
    <d v="2012-09-24T00:00:00"/>
    <d v="2017-09-26T00:00:00"/>
    <s v="hours"/>
    <s v="Voluntarily Terminated"/>
    <s v="Production"/>
    <s v="Amy Dunn"/>
    <x v="21"/>
    <x v="3"/>
  </r>
  <r>
    <s v="Mahoney, Lauren"/>
    <n v="10219"/>
    <n v="0"/>
    <n v="45395"/>
    <s v="Production Technician I"/>
    <d v="1986-07-07T00:00:00"/>
    <s v="F"/>
    <s v="US Citizen"/>
    <d v="2014-01-06T00:00:00"/>
    <m/>
    <s v="N/A-StillEmployed"/>
    <s v="Active"/>
    <s v="Production"/>
    <s v="Ketsia Liebig"/>
    <x v="10"/>
    <x v="5"/>
  </r>
  <r>
    <s v="Manchester, Robyn"/>
    <n v="10077"/>
    <n v="0"/>
    <n v="62385"/>
    <s v="Production Technician II"/>
    <d v="1976-08-25T00:00:00"/>
    <s v="F"/>
    <s v="US Citizen"/>
    <d v="2016-05-11T00:00:00"/>
    <m/>
    <s v="N/A-StillEmployed"/>
    <s v="Active"/>
    <s v="Production"/>
    <s v="Webster Butler"/>
    <x v="24"/>
    <x v="11"/>
  </r>
  <r>
    <s v="Mancuso, Karen"/>
    <n v="10073"/>
    <n v="0"/>
    <n v="68407"/>
    <s v="Production Technician II"/>
    <d v="1986-12-10T00:00:00"/>
    <s v="F"/>
    <s v="US Citizen"/>
    <d v="2011-07-05T00:00:00"/>
    <d v="2012-08-19T00:00:00"/>
    <s v="Another position"/>
    <s v="Voluntarily Terminated"/>
    <s v="Production"/>
    <s v="Amy Dunn"/>
    <x v="10"/>
    <x v="1"/>
  </r>
  <r>
    <s v="Mangal, Debbie"/>
    <n v="10279"/>
    <n v="0"/>
    <n v="61349"/>
    <s v="Production Technician I"/>
    <d v="1974-11-07T00:00:00"/>
    <s v="F"/>
    <s v="US Citizen"/>
    <d v="2013-11-11T00:00:00"/>
    <m/>
    <s v="N/A-StillEmployed"/>
    <s v="Active"/>
    <s v="Production"/>
    <s v="Brannon Miller"/>
    <x v="7"/>
    <x v="6"/>
  </r>
  <r>
    <s v="Martin, Sandra"/>
    <n v="10110"/>
    <n v="0"/>
    <n v="105688"/>
    <s v="Software Engineer"/>
    <d v="1987-11-07T00:00:00"/>
    <s v="F"/>
    <s v="US Citizen"/>
    <d v="2013-11-11T00:00:00"/>
    <m/>
    <s v="N/A-StillEmployed"/>
    <s v="Active"/>
    <s v="Software Engineering"/>
    <s v="Alex Sweetwater"/>
    <x v="16"/>
    <x v="6"/>
  </r>
  <r>
    <s v="Maurice, Shana"/>
    <n v="10053"/>
    <n v="0"/>
    <n v="54132"/>
    <s v="Production Technician I"/>
    <d v="1977-11-22T00:00:00"/>
    <s v="F"/>
    <s v="US Citizen"/>
    <d v="2011-05-31T00:00:00"/>
    <m/>
    <s v="N/A-StillEmployed"/>
    <s v="Active"/>
    <s v="Production"/>
    <s v="David Stanley"/>
    <x v="4"/>
    <x v="0"/>
  </r>
  <r>
    <s v="Carthy, B'rigit"/>
    <n v="10076"/>
    <n v="0"/>
    <n v="55315"/>
    <s v="Production Technician II"/>
    <d v="1987-05-21T00:00:00"/>
    <s v="F"/>
    <s v="US Citizen"/>
    <d v="2015-03-30T00:00:00"/>
    <m/>
    <s v="N/A-StillEmployed"/>
    <s v="Active"/>
    <s v="Production"/>
    <s v="Ketsia Liebig"/>
    <x v="16"/>
    <x v="8"/>
  </r>
  <r>
    <s v="Mckenna, Sandy"/>
    <n v="10145"/>
    <n v="0"/>
    <n v="62810"/>
    <s v="Production Technician I"/>
    <d v="1987-01-07T00:00:00"/>
    <s v="F"/>
    <s v="US Citizen"/>
    <d v="2013-01-07T00:00:00"/>
    <m/>
    <s v="N/A-StillEmployed"/>
    <s v="Active"/>
    <s v="Production"/>
    <s v="Kissy Sullivan"/>
    <x v="16"/>
    <x v="6"/>
  </r>
  <r>
    <s v="McKinzie, Jac"/>
    <n v="10202"/>
    <n v="1"/>
    <n v="63291"/>
    <s v="Area Sales Manager"/>
    <d v="1984-07-01T00:00:00"/>
    <s v="M "/>
    <s v="US Citizen"/>
    <d v="2016-07-06T00:00:00"/>
    <m/>
    <s v="N/A-StillEmployed"/>
    <s v="Active"/>
    <s v="Sales"/>
    <s v="Lynn Daneault"/>
    <x v="33"/>
    <x v="11"/>
  </r>
  <r>
    <s v="Meads, Elizabeth"/>
    <n v="10128"/>
    <n v="0"/>
    <n v="62659"/>
    <s v="Production Technician I"/>
    <d v="1968-05-30T00:00:00"/>
    <s v="F"/>
    <s v="US Citizen"/>
    <d v="2012-04-02T00:00:00"/>
    <d v="2016-11-11T00:00:00"/>
    <s v="Another position"/>
    <s v="Voluntarily Terminated"/>
    <s v="Production"/>
    <s v="Kelley Spirea"/>
    <x v="31"/>
    <x v="10"/>
  </r>
  <r>
    <s v="Medeiros, Jennifer"/>
    <n v="10068"/>
    <n v="0"/>
    <n v="55688"/>
    <s v="Production Technician I"/>
    <d v="1976-09-22T00:00:00"/>
    <s v="F"/>
    <s v="US Citizen"/>
    <d v="2015-03-30T00:00:00"/>
    <m/>
    <s v="N/A-StillEmployed"/>
    <s v="Active"/>
    <s v="Production"/>
    <s v="Michael Albert"/>
    <x v="24"/>
    <x v="8"/>
  </r>
  <r>
    <s v="Miller, Brannon"/>
    <n v="10116"/>
    <n v="1"/>
    <n v="83667"/>
    <s v="Production Manager"/>
    <d v="1981-08-10T00:00:00"/>
    <s v="M "/>
    <s v="US Citizen"/>
    <d v="2012-08-16T00:00:00"/>
    <m/>
    <s v="N/A-StillEmployed"/>
    <s v="Active"/>
    <s v="Production"/>
    <s v="Janet King"/>
    <x v="8"/>
    <x v="4"/>
  </r>
  <r>
    <s v="Miller, Ned"/>
    <n v="10298"/>
    <n v="1"/>
    <n v="55800"/>
    <s v="Production Technician II"/>
    <d v="1985-06-29T00:00:00"/>
    <s v="M "/>
    <s v="US Citizen"/>
    <d v="2011-08-15T00:00:00"/>
    <d v="2014-09-04T00:00:00"/>
    <s v="unhappy"/>
    <s v="Voluntarily Terminated"/>
    <s v="Production"/>
    <s v="Brannon Miller"/>
    <x v="22"/>
    <x v="12"/>
  </r>
  <r>
    <s v="Monkfish, Erasumus"/>
    <n v="10213"/>
    <n v="1"/>
    <n v="58207"/>
    <s v="Production Technician II"/>
    <d v="1992-08-17T00:00:00"/>
    <s v="M "/>
    <s v="US Citizen"/>
    <d v="2011-11-07T00:00:00"/>
    <m/>
    <s v="N/A-StillEmployed"/>
    <s v="Active"/>
    <s v="Production"/>
    <s v="David Stanley"/>
    <x v="32"/>
    <x v="0"/>
  </r>
  <r>
    <s v="Monroe, Peter"/>
    <n v="10288"/>
    <n v="1"/>
    <n v="157000"/>
    <s v="IT Manager - Infra"/>
    <d v="1986-10-05T00:00:00"/>
    <s v="M "/>
    <s v="Eligible NonCitizen"/>
    <d v="2012-02-15T00:00:00"/>
    <m/>
    <s v="N/A-StillEmployed"/>
    <s v="Active"/>
    <s v="IT/IS"/>
    <s v="Jennifer Zamora"/>
    <x v="10"/>
    <x v="4"/>
  </r>
  <r>
    <s v="Monterro, Luisa"/>
    <n v="10025"/>
    <n v="0"/>
    <n v="72460"/>
    <s v="Production Technician II"/>
    <d v="1970-04-24T00:00:00"/>
    <s v="F"/>
    <s v="US Citizen"/>
    <d v="2013-05-13T00:00:00"/>
    <m/>
    <s v="N/A-StillEmployed"/>
    <s v="Active"/>
    <s v="Production"/>
    <s v="Kissy Sullivan"/>
    <x v="6"/>
    <x v="6"/>
  </r>
  <r>
    <s v="Moran, Patrick"/>
    <n v="10223"/>
    <n v="1"/>
    <n v="72106"/>
    <s v="Production Technician II"/>
    <d v="1976-12-03T00:00:00"/>
    <s v="M "/>
    <s v="US Citizen"/>
    <d v="2012-01-09T00:00:00"/>
    <m/>
    <s v="N/A-StillEmployed"/>
    <s v="Active"/>
    <s v="Production"/>
    <s v="Kelley Spirea"/>
    <x v="24"/>
    <x v="4"/>
  </r>
  <r>
    <s v="Morway, Tanya"/>
    <n v="10151"/>
    <n v="0"/>
    <n v="52599"/>
    <s v="Network Engineer"/>
    <d v="1979-04-04T00:00:00"/>
    <s v="F"/>
    <s v="US Citizen"/>
    <d v="2015-02-16T00:00:00"/>
    <m/>
    <s v="N/A-StillEmployed"/>
    <s v="Active"/>
    <s v="IT/IS"/>
    <s v="Peter Monroe"/>
    <x v="5"/>
    <x v="8"/>
  </r>
  <r>
    <s v="Motlagh,  Dawn"/>
    <n v="10254"/>
    <n v="0"/>
    <n v="63430"/>
    <s v="Production Technician I"/>
    <d v="1984-07-07T00:00:00"/>
    <s v="F"/>
    <s v="US Citizen"/>
    <d v="2013-04-01T00:00:00"/>
    <m/>
    <s v="N/A-StillEmployed"/>
    <s v="Active"/>
    <s v="Production"/>
    <s v="Elijiah Gray"/>
    <x v="33"/>
    <x v="6"/>
  </r>
  <r>
    <s v="Moumanil, Maliki"/>
    <n v="10120"/>
    <n v="1"/>
    <n v="74417"/>
    <s v="Production Technician II"/>
    <d v="1974-12-01T00:00:00"/>
    <s v="M "/>
    <s v="US Citizen"/>
    <d v="2013-05-13T00:00:00"/>
    <m/>
    <s v="N/A-StillEmployed"/>
    <s v="Active"/>
    <s v="Production"/>
    <s v="Michael Albert"/>
    <x v="7"/>
    <x v="6"/>
  </r>
  <r>
    <s v="Myers, Michael"/>
    <n v="10216"/>
    <n v="1"/>
    <n v="57575"/>
    <s v="Production Technician I"/>
    <d v="1980-04-18T00:00:00"/>
    <s v="M "/>
    <s v="US Citizen"/>
    <d v="2013-07-08T00:00:00"/>
    <m/>
    <s v="N/A-StillEmployed"/>
    <s v="Active"/>
    <s v="Production"/>
    <s v="Kissy Sullivan"/>
    <x v="18"/>
    <x v="6"/>
  </r>
  <r>
    <s v="Navathe, Kurt"/>
    <n v="10079"/>
    <n v="1"/>
    <n v="87921"/>
    <s v="Senior BI Developer"/>
    <d v="1970-04-25T00:00:00"/>
    <s v="M "/>
    <s v="US Citizen"/>
    <d v="2017-02-10T00:00:00"/>
    <m/>
    <s v="N/A-StillEmployed"/>
    <s v="Active"/>
    <s v="IT/IS"/>
    <s v="Brian Champaigne"/>
    <x v="6"/>
    <x v="17"/>
  </r>
  <r>
    <s v="Ndzi, Colombui"/>
    <n v="10215"/>
    <n v="1"/>
    <n v="50470"/>
    <s v="Production Technician I"/>
    <d v="1989-05-02T00:00:00"/>
    <s v="M "/>
    <s v="US Citizen"/>
    <d v="2011-09-26T00:00:00"/>
    <d v="2014-04-04T00:00:00"/>
    <s v="return to school"/>
    <s v="Voluntarily Terminated"/>
    <s v="Production"/>
    <s v="Webster Butler"/>
    <x v="3"/>
    <x v="13"/>
  </r>
  <r>
    <s v="Ndzi, Horia"/>
    <n v="10185"/>
    <n v="1"/>
    <n v="46664"/>
    <s v="Production Technician I"/>
    <d v="1983-03-28T00:00:00"/>
    <s v="M "/>
    <s v="US Citizen"/>
    <d v="2013-04-01T00:00:00"/>
    <d v="2016-05-25T00:00:00"/>
    <s v="more money"/>
    <s v="Voluntarily Terminated"/>
    <s v="Production"/>
    <s v="Amy Dunn"/>
    <x v="0"/>
    <x v="12"/>
  </r>
  <r>
    <s v="Newman, Richard"/>
    <n v="10063"/>
    <n v="1"/>
    <n v="48495"/>
    <s v="Production Technician I"/>
    <d v="1977-04-08T00:00:00"/>
    <s v="M "/>
    <s v="US Citizen"/>
    <d v="2014-05-12T00:00:00"/>
    <m/>
    <s v="N/A-StillEmployed"/>
    <s v="Active"/>
    <s v="Production"/>
    <s v="Ketsia Liebig"/>
    <x v="4"/>
    <x v="5"/>
  </r>
  <r>
    <s v="Ngodup, Shari"/>
    <n v="10037"/>
    <n v="0"/>
    <n v="52984"/>
    <s v="Production Technician I"/>
    <d v="1967-06-03T00:00:00"/>
    <s v="F"/>
    <s v="US Citizen"/>
    <d v="2013-04-01T00:00:00"/>
    <m/>
    <s v="N/A-StillEmployed"/>
    <s v="Active"/>
    <s v="Production"/>
    <s v="Brannon Miller"/>
    <x v="14"/>
    <x v="6"/>
  </r>
  <r>
    <s v="Nguyen, Dheepa"/>
    <n v="10042"/>
    <n v="0"/>
    <n v="63695"/>
    <s v="Area Sales Manager"/>
    <d v="1989-03-31T00:00:00"/>
    <s v="F"/>
    <s v="US Citizen"/>
    <d v="2013-07-08T00:00:00"/>
    <m/>
    <s v="N/A-StillEmployed"/>
    <s v="Active"/>
    <s v="Sales"/>
    <s v="Lynn Daneault"/>
    <x v="3"/>
    <x v="6"/>
  </r>
  <r>
    <s v="Nguyen, Lei-Ming"/>
    <n v="10206"/>
    <n v="0"/>
    <n v="62061"/>
    <s v="Production Technician I"/>
    <d v="1984-07-07T00:00:00"/>
    <s v="F"/>
    <s v="US Citizen"/>
    <d v="2013-07-08T00:00:00"/>
    <m/>
    <s v="N/A-StillEmployed"/>
    <s v="Active"/>
    <s v="Production"/>
    <s v="David Stanley"/>
    <x v="33"/>
    <x v="6"/>
  </r>
  <r>
    <s v="Nowlan, Kristie"/>
    <n v="10104"/>
    <n v="0"/>
    <n v="66738"/>
    <s v="Production Technician II"/>
    <d v="1985-11-23T00:00:00"/>
    <s v="F"/>
    <s v="US Citizen"/>
    <d v="2014-11-10T00:00:00"/>
    <m/>
    <s v="N/A-StillEmployed"/>
    <s v="Active"/>
    <s v="Production"/>
    <s v="Elijiah Gray"/>
    <x v="22"/>
    <x v="5"/>
  </r>
  <r>
    <s v="O'hare, Lynn"/>
    <n v="10303"/>
    <n v="0"/>
    <n v="52674"/>
    <s v="Production Technician I"/>
    <d v="1980-09-30T00:00:00"/>
    <s v="F"/>
    <s v="US Citizen"/>
    <d v="2014-03-31T00:00:00"/>
    <d v="2018-05-01T00:00:00"/>
    <s v="performance"/>
    <s v="Terminated for Cause"/>
    <s v="Production"/>
    <s v="Kissy Sullivan"/>
    <x v="18"/>
    <x v="10"/>
  </r>
  <r>
    <s v="Oliver, Brooke"/>
    <n v="10078"/>
    <n v="0"/>
    <n v="71966"/>
    <s v="Production Technician II"/>
    <d v="1952-02-11T00:00:00"/>
    <s v="F"/>
    <s v="US Citizen"/>
    <d v="2012-05-14T00:00:00"/>
    <d v="2013-08-19T00:00:00"/>
    <s v="unhappy"/>
    <s v="Voluntarily Terminated"/>
    <s v="Production"/>
    <s v="Webster Butler"/>
    <x v="26"/>
    <x v="1"/>
  </r>
  <r>
    <s v="Onque, Jasmine"/>
    <n v="10121"/>
    <n v="0"/>
    <n v="63051"/>
    <s v="Area Sales Manager"/>
    <d v="1990-05-11T00:00:00"/>
    <s v="F"/>
    <s v="US Citizen"/>
    <d v="2013-09-30T00:00:00"/>
    <m/>
    <s v="N/A-StillEmployed"/>
    <s v="Active"/>
    <s v="Sales"/>
    <s v="Lynn Daneault"/>
    <x v="13"/>
    <x v="6"/>
  </r>
  <r>
    <s v="Osturnka, Adeel"/>
    <n v="10021"/>
    <n v="1"/>
    <n v="47414"/>
    <s v="Production Technician I"/>
    <d v="1976-12-11T00:00:00"/>
    <s v="M "/>
    <s v="US Citizen"/>
    <d v="2013-09-30T00:00:00"/>
    <m/>
    <s v="N/A-StillEmployed"/>
    <s v="Active"/>
    <s v="Production"/>
    <s v="Kelley Spirea"/>
    <x v="24"/>
    <x v="6"/>
  </r>
  <r>
    <s v="Owad, Clinton"/>
    <n v="10281"/>
    <n v="1"/>
    <n v="53060"/>
    <s v="Production Technician I"/>
    <d v="1979-11-24T00:00:00"/>
    <s v="M "/>
    <s v="US Citizen"/>
    <d v="2014-02-17T00:00:00"/>
    <m/>
    <s v="N/A-StillEmployed"/>
    <s v="Active"/>
    <s v="Production"/>
    <s v="Michael Albert"/>
    <x v="5"/>
    <x v="5"/>
  </r>
  <r>
    <s v="Ozark, Travis"/>
    <n v="10041"/>
    <n v="1"/>
    <n v="68829"/>
    <s v="Area Sales Manager"/>
    <d v="1982-05-19T00:00:00"/>
    <s v="M "/>
    <s v="US Citizen"/>
    <d v="2015-01-05T00:00:00"/>
    <m/>
    <s v="N/A-StillEmployed"/>
    <s v="Active"/>
    <s v="Sales"/>
    <s v="John Smith"/>
    <x v="27"/>
    <x v="8"/>
  </r>
  <r>
    <s v="Panjwani, Nina"/>
    <n v="10148"/>
    <n v="0"/>
    <n v="63515"/>
    <s v="Production Technician I"/>
    <d v="1979-05-01T00:00:00"/>
    <s v="F"/>
    <s v="US Citizen"/>
    <d v="2011-02-07T00:00:00"/>
    <d v="2014-01-12T00:00:00"/>
    <s v="Another position"/>
    <s v="Voluntarily Terminated"/>
    <s v="Production"/>
    <s v="Elijiah Gray"/>
    <x v="5"/>
    <x v="13"/>
  </r>
  <r>
    <s v="Patronick, Lucas"/>
    <n v="10005"/>
    <n v="1"/>
    <n v="108987"/>
    <s v="Software Engineer"/>
    <d v="1979-02-20T00:00:00"/>
    <s v="M "/>
    <s v="US Citizen"/>
    <d v="2011-11-07T00:00:00"/>
    <d v="2015-09-07T00:00:00"/>
    <s v="Another position"/>
    <s v="Voluntarily Terminated"/>
    <s v="Software Engineering"/>
    <s v="Alex Sweetwater"/>
    <x v="5"/>
    <x v="12"/>
  </r>
  <r>
    <s v="Pearson, Randall"/>
    <n v="10259"/>
    <n v="1"/>
    <n v="93093"/>
    <s v="Data Analyst"/>
    <d v="1984-09-05T00:00:00"/>
    <s v="M "/>
    <s v="US Citizen"/>
    <d v="2014-12-01T00:00:00"/>
    <d v="2016-05-01T00:00:00"/>
    <s v="performance"/>
    <s v="Voluntarily Terminated"/>
    <s v="IT/IS"/>
    <s v="Simon Roup"/>
    <x v="33"/>
    <x v="1"/>
  </r>
  <r>
    <s v="Smith, Martin"/>
    <n v="10286"/>
    <n v="1"/>
    <n v="53564"/>
    <s v="Production Technician I"/>
    <d v="1988-03-17T00:00:00"/>
    <s v="M "/>
    <s v="US Citizen"/>
    <d v="2011-01-10T00:00:00"/>
    <d v="2017-12-28T00:00:00"/>
    <s v="career change"/>
    <s v="Voluntarily Terminated"/>
    <s v="Production"/>
    <s v="Webster Butler"/>
    <x v="2"/>
    <x v="9"/>
  </r>
  <r>
    <s v="Pelletier, Ermine"/>
    <n v="10297"/>
    <n v="0"/>
    <n v="60270"/>
    <s v="Production Technician II"/>
    <d v="1989-07-18T00:00:00"/>
    <s v="F"/>
    <s v="US Citizen"/>
    <d v="2011-07-05T00:00:00"/>
    <d v="2015-09-15T00:00:00"/>
    <s v="unhappy"/>
    <s v="Voluntarily Terminated"/>
    <s v="Production"/>
    <s v="Amy Dunn"/>
    <x v="3"/>
    <x v="10"/>
  </r>
  <r>
    <s v="Perry, Shakira"/>
    <n v="10171"/>
    <n v="0"/>
    <n v="45998"/>
    <s v="Production Technician I"/>
    <d v="1986-07-20T00:00:00"/>
    <s v="F"/>
    <s v="US Citizen"/>
    <d v="2011-05-16T00:00:00"/>
    <d v="2015-10-25T00:00:00"/>
    <s v="medical issues"/>
    <s v="Voluntarily Terminated"/>
    <s v="Production"/>
    <s v="Amy Dunn"/>
    <x v="10"/>
    <x v="10"/>
  </r>
  <r>
    <s v="Peters, Lauren"/>
    <n v="10032"/>
    <n v="0"/>
    <n v="57954"/>
    <s v="Production Technician II"/>
    <d v="1986-08-17T00:00:00"/>
    <s v="F"/>
    <s v="US Citizen"/>
    <d v="2011-05-16T00:00:00"/>
    <d v="2013-02-04T00:00:00"/>
    <s v="more money"/>
    <s v="Voluntarily Terminated"/>
    <s v="Production"/>
    <s v="Ketsia Liebig"/>
    <x v="10"/>
    <x v="1"/>
  </r>
  <r>
    <s v="Peterson, Ebonee"/>
    <n v="10130"/>
    <n v="0"/>
    <n v="74669"/>
    <s v="Production Manager"/>
    <d v="1977-05-09T00:00:00"/>
    <s v="F"/>
    <s v="US Citizen"/>
    <d v="2010-10-25T00:00:00"/>
    <d v="2016-05-18T00:00:00"/>
    <s v="Another position"/>
    <s v="Voluntarily Terminated"/>
    <s v="Production"/>
    <s v="Janet King"/>
    <x v="4"/>
    <x v="3"/>
  </r>
  <r>
    <s v="Petingill, Shana"/>
    <n v="10217"/>
    <n v="0"/>
    <n v="74226"/>
    <s v="Production Technician II"/>
    <d v="1979-03-10T00:00:00"/>
    <s v="F"/>
    <s v="Eligible NonCitizen"/>
    <d v="2012-04-02T00:00:00"/>
    <m/>
    <s v="N/A-StillEmployed"/>
    <s v="Active"/>
    <s v="Production"/>
    <s v="Brannon Miller"/>
    <x v="5"/>
    <x v="4"/>
  </r>
  <r>
    <s v="Petrowsky, Thelma"/>
    <n v="10016"/>
    <n v="0"/>
    <n v="93554"/>
    <s v="Data Analyst"/>
    <d v="1984-09-16T00:00:00"/>
    <s v="F"/>
    <s v="US Citizen"/>
    <d v="2014-11-10T00:00:00"/>
    <m/>
    <s v="N/A-StillEmployed"/>
    <s v="Active"/>
    <s v="IT/IS"/>
    <s v="Simon Roup"/>
    <x v="33"/>
    <x v="5"/>
  </r>
  <r>
    <s v="Pham, Hong"/>
    <n v="10050"/>
    <n v="1"/>
    <n v="64724"/>
    <s v="Production Technician I"/>
    <d v="1988-03-06T00:00:00"/>
    <s v="M "/>
    <s v="US Citizen"/>
    <d v="2011-07-05T00:00:00"/>
    <d v="2012-11-30T00:00:00"/>
    <s v="more money"/>
    <s v="Voluntarily Terminated"/>
    <s v="Production"/>
    <s v="Brannon Miller"/>
    <x v="2"/>
    <x v="1"/>
  </r>
  <r>
    <s v="Pitt, Brad"/>
    <n v="10164"/>
    <n v="1"/>
    <n v="47001"/>
    <s v="Production Technician I"/>
    <d v="1981-11-23T00:00:00"/>
    <s v="M "/>
    <s v="US Citizen"/>
    <d v="2007-11-05T00:00:00"/>
    <m/>
    <s v="N/A-StillEmployed"/>
    <s v="Active"/>
    <s v="Production"/>
    <s v="David Stanley"/>
    <x v="8"/>
    <x v="18"/>
  </r>
  <r>
    <s v="Potts, Xana"/>
    <n v="10124"/>
    <n v="0"/>
    <n v="61844"/>
    <s v="Area Sales Manager"/>
    <d v="1988-08-29T00:00:00"/>
    <s v="F"/>
    <s v="US Citizen"/>
    <d v="2012-01-09T00:00:00"/>
    <m/>
    <s v="N/A-StillEmployed"/>
    <s v="Active"/>
    <s v="Sales"/>
    <s v="Lynn Daneault"/>
    <x v="2"/>
    <x v="4"/>
  </r>
  <r>
    <s v="Power, Morissa"/>
    <n v="10187"/>
    <n v="0"/>
    <n v="46799"/>
    <s v="Production Technician I"/>
    <d v="1984-10-15T00:00:00"/>
    <s v="F"/>
    <s v="Eligible NonCitizen"/>
    <d v="2011-05-16T00:00:00"/>
    <d v="2018-06-04T00:00:00"/>
    <s v="Another position"/>
    <s v="Voluntarily Terminated"/>
    <s v="Production"/>
    <s v="Kissy Sullivan"/>
    <x v="33"/>
    <x v="16"/>
  </r>
  <r>
    <s v="Punjabhi, Louis"/>
    <n v="10225"/>
    <n v="1"/>
    <n v="59472"/>
    <s v="Production Technician I"/>
    <d v="1961-06-19T00:00:00"/>
    <s v="M "/>
    <s v="US Citizen"/>
    <d v="2014-01-06T00:00:00"/>
    <m/>
    <s v="N/A-StillEmployed"/>
    <s v="Active"/>
    <s v="Production"/>
    <s v="Kelley Spirea"/>
    <x v="35"/>
    <x v="5"/>
  </r>
  <r>
    <s v="Purinton, Janine"/>
    <n v="10262"/>
    <n v="0"/>
    <n v="46430"/>
    <s v="Production Technician I"/>
    <d v="1970-09-22T00:00:00"/>
    <s v="F"/>
    <s v="US Citizen"/>
    <d v="2012-09-24T00:00:00"/>
    <d v="2013-06-18T00:00:00"/>
    <s v="unhappy"/>
    <s v="Voluntarily Terminated"/>
    <s v="Production"/>
    <s v="Kissy Sullivan"/>
    <x v="6"/>
    <x v="14"/>
  </r>
  <r>
    <s v="Quinn, Sean"/>
    <n v="10131"/>
    <n v="1"/>
    <n v="83363"/>
    <s v="Software Engineer"/>
    <d v="1984-11-06T00:00:00"/>
    <s v="M "/>
    <s v="Eligible NonCitizen"/>
    <d v="2011-02-21T00:00:00"/>
    <d v="2015-08-15T00:00:00"/>
    <s v="career change"/>
    <s v="Voluntarily Terminated"/>
    <s v="Software Engineering"/>
    <s v="Janet King"/>
    <x v="33"/>
    <x v="10"/>
  </r>
  <r>
    <s v="Rachael, Maggie"/>
    <n v="10239"/>
    <n v="0"/>
    <n v="95920"/>
    <s v="BI Developer"/>
    <d v="1980-05-12T00:00:00"/>
    <s v="F"/>
    <s v="US Citizen"/>
    <d v="2016-10-02T00:00:00"/>
    <m/>
    <s v="N/A-StillEmployed"/>
    <s v="Active"/>
    <s v="IT/IS"/>
    <s v="Brian Champaigne"/>
    <x v="18"/>
    <x v="11"/>
  </r>
  <r>
    <s v="Rarrick, Quinn"/>
    <n v="10152"/>
    <n v="1"/>
    <n v="61729"/>
    <s v="Production Technician I"/>
    <d v="1984-12-31T00:00:00"/>
    <s v="M "/>
    <s v="US Citizen"/>
    <d v="2011-09-26T00:00:00"/>
    <d v="2018-04-07T00:00:00"/>
    <s v="more money"/>
    <s v="Voluntarily Terminated"/>
    <s v="Production"/>
    <s v="Michael Albert"/>
    <x v="22"/>
    <x v="9"/>
  </r>
  <r>
    <s v="Ren, Kylo"/>
    <n v="10140"/>
    <n v="1"/>
    <n v="61809"/>
    <s v="Area Sales Manager"/>
    <d v="1954-10-12T00:00:00"/>
    <s v="M "/>
    <s v="US Citizen"/>
    <d v="2014-05-12T00:00:00"/>
    <m/>
    <s v="N/A-StillEmployed"/>
    <s v="Active"/>
    <s v="Sales"/>
    <s v="John Smith"/>
    <x v="34"/>
    <x v="5"/>
  </r>
  <r>
    <s v="Rhoads, Thomas"/>
    <n v="10058"/>
    <n v="1"/>
    <n v="45115"/>
    <s v="Production Technician I"/>
    <d v="1982-07-22T00:00:00"/>
    <s v="M "/>
    <s v="US Citizen"/>
    <d v="2011-05-16T00:00:00"/>
    <d v="2016-01-15T00:00:00"/>
    <s v="retiring"/>
    <s v="Voluntarily Terminated"/>
    <s v="Production"/>
    <s v="Elijiah Gray"/>
    <x v="27"/>
    <x v="10"/>
  </r>
  <r>
    <s v="Rivera, Haley"/>
    <n v="10011"/>
    <n v="0"/>
    <n v="46738"/>
    <s v="Production Technician I"/>
    <d v="1973-01-12T00:00:00"/>
    <s v="F"/>
    <s v="US Citizen"/>
    <d v="2011-11-28T00:00:00"/>
    <m/>
    <s v="N/A-StillEmployed"/>
    <s v="Active"/>
    <s v="Production"/>
    <s v="Webster Butler"/>
    <x v="28"/>
    <x v="0"/>
  </r>
  <r>
    <s v="Roberson, May"/>
    <n v="10230"/>
    <n v="0"/>
    <n v="64971"/>
    <s v="Production Technician II"/>
    <d v="1981-09-05T00:00:00"/>
    <s v="F"/>
    <s v="Eligible NonCitizen"/>
    <d v="2011-09-26T00:00:00"/>
    <d v="2011-10-22T00:00:00"/>
    <s v="return to school"/>
    <s v="Voluntarily Terminated"/>
    <s v="Production"/>
    <s v="David Stanley"/>
    <x v="8"/>
    <x v="14"/>
  </r>
  <r>
    <s v="Robertson, Peter"/>
    <n v="10224"/>
    <n v="1"/>
    <n v="55578"/>
    <s v="Production Technician II"/>
    <d v="1972-07-03T00:00:00"/>
    <s v="M "/>
    <s v="US Citizen"/>
    <d v="2011-07-05T00:00:00"/>
    <d v="2012-02-08T00:00:00"/>
    <s v="Another position"/>
    <s v="Voluntarily Terminated"/>
    <s v="Production"/>
    <s v="Kissy Sullivan"/>
    <x v="21"/>
    <x v="14"/>
  </r>
  <r>
    <s v="Robinson, Alain"/>
    <n v="10047"/>
    <n v="1"/>
    <n v="50428"/>
    <s v="Production Technician I"/>
    <d v="1974-01-07T00:00:00"/>
    <s v="M "/>
    <s v="US Citizen"/>
    <d v="2011-01-10T00:00:00"/>
    <d v="2016-01-26T00:00:00"/>
    <s v="attendance"/>
    <s v="Voluntarily Terminated"/>
    <s v="Production"/>
    <s v="Amy Dunn"/>
    <x v="7"/>
    <x v="3"/>
  </r>
  <r>
    <s v="Robinson, Cherly"/>
    <n v="10285"/>
    <n v="0"/>
    <n v="61422"/>
    <s v="Production Technician I"/>
    <d v="1985-01-07T00:00:00"/>
    <s v="F"/>
    <s v="US Citizen"/>
    <d v="2011-01-10T00:00:00"/>
    <d v="2016-05-17T00:00:00"/>
    <s v="attendance"/>
    <s v="Terminated for Cause"/>
    <s v="Production"/>
    <s v="Ketsia Liebig"/>
    <x v="22"/>
    <x v="3"/>
  </r>
  <r>
    <s v="Robinson, Elias"/>
    <n v="10020"/>
    <n v="1"/>
    <n v="63353"/>
    <s v="Production Technician I"/>
    <d v="1985-01-28T00:00:00"/>
    <s v="M "/>
    <s v="US Citizen"/>
    <d v="2013-07-08T00:00:00"/>
    <m/>
    <s v="N/A-StillEmployed"/>
    <s v="Active"/>
    <s v="Production"/>
    <s v="Brannon Miller"/>
    <x v="22"/>
    <x v="6"/>
  </r>
  <r>
    <s v="Roby, Lori"/>
    <n v="10162"/>
    <n v="0"/>
    <n v="89883"/>
    <s v="Data Analyst"/>
    <d v="1981-10-11T00:00:00"/>
    <s v="F"/>
    <s v="US Citizen"/>
    <d v="2015-02-16T00:00:00"/>
    <m/>
    <s v="N/A-StillEmployed"/>
    <s v="Active"/>
    <s v="IT/IS"/>
    <s v="Simon Roup"/>
    <x v="8"/>
    <x v="8"/>
  </r>
  <r>
    <s v="Roehrich, Bianca"/>
    <n v="10149"/>
    <n v="0"/>
    <n v="120000"/>
    <s v="Principal Data Architect"/>
    <d v="1973-05-27T00:00:00"/>
    <s v="F"/>
    <s v="US Citizen"/>
    <d v="2015-01-05T00:00:00"/>
    <d v="2018-11-10T00:00:00"/>
    <s v="Another position"/>
    <s v="Voluntarily Terminated"/>
    <s v="IT/IS"/>
    <s v="Simon Roup"/>
    <x v="28"/>
    <x v="12"/>
  </r>
  <r>
    <s v="Roper, Katie"/>
    <n v="10086"/>
    <n v="0"/>
    <n v="150290"/>
    <s v="Data Architect"/>
    <d v="1972-11-21T00:00:00"/>
    <s v="F"/>
    <s v="US Citizen"/>
    <d v="2017-01-07T00:00:00"/>
    <m/>
    <s v="N/A-StillEmployed"/>
    <s v="Active"/>
    <s v="IT/IS"/>
    <s v="Brian Champaigne"/>
    <x v="21"/>
    <x v="17"/>
  </r>
  <r>
    <s v="Rose, Ashley"/>
    <n v="10054"/>
    <n v="0"/>
    <n v="60627"/>
    <s v="Production Technician I"/>
    <d v="1974-12-05T00:00:00"/>
    <s v="F"/>
    <s v="US Citizen"/>
    <d v="2014-01-06T00:00:00"/>
    <m/>
    <s v="N/A-StillEmployed"/>
    <s v="Active"/>
    <s v="Production"/>
    <s v="David Stanley"/>
    <x v="7"/>
    <x v="5"/>
  </r>
  <r>
    <s v="Rossetti, Bruno"/>
    <n v="10065"/>
    <n v="1"/>
    <n v="53180"/>
    <s v="Production Technician I"/>
    <d v="1987-03-18T00:00:00"/>
    <s v="M "/>
    <s v="US Citizen"/>
    <d v="2011-04-04T00:00:00"/>
    <d v="2018-08-13T00:00:00"/>
    <s v="Another position"/>
    <s v="Voluntarily Terminated"/>
    <s v="Production"/>
    <s v="Kissy Sullivan"/>
    <x v="16"/>
    <x v="16"/>
  </r>
  <r>
    <s v="Roup,Simon"/>
    <n v="10198"/>
    <n v="1"/>
    <n v="140920"/>
    <s v="IT Manager - DB"/>
    <d v="1973-04-05T00:00:00"/>
    <s v="M "/>
    <s v="US Citizen"/>
    <d v="2013-01-20T00:00:00"/>
    <m/>
    <s v="N/A-StillEmployed"/>
    <s v="Active"/>
    <s v="IT/IS"/>
    <s v="Jennifer Zamora"/>
    <x v="28"/>
    <x v="6"/>
  </r>
  <r>
    <s v="Ruiz, Ricardo"/>
    <n v="10222"/>
    <n v="1"/>
    <n v="148999"/>
    <s v="IT Manager - DB"/>
    <d v="1964-01-04T00:00:00"/>
    <s v="M "/>
    <s v="US Citizen"/>
    <d v="2012-01-09T00:00:00"/>
    <d v="2015-11-04T00:00:00"/>
    <s v="hours"/>
    <s v="Voluntarily Terminated"/>
    <s v="IT/IS"/>
    <s v="Jennifer Zamora"/>
    <x v="15"/>
    <x v="12"/>
  </r>
  <r>
    <s v="Saada, Adell"/>
    <n v="10126"/>
    <n v="0"/>
    <n v="86214"/>
    <s v="Software Engineer"/>
    <d v="1986-07-24T00:00:00"/>
    <s v="F"/>
    <s v="US Citizen"/>
    <d v="2012-11-05T00:00:00"/>
    <m/>
    <s v="N/A-StillEmployed"/>
    <s v="Active"/>
    <s v="Software Engineering"/>
    <s v="Alex Sweetwater"/>
    <x v="10"/>
    <x v="4"/>
  </r>
  <r>
    <s v="Saar-Beckles, Melinda"/>
    <n v="10295"/>
    <n v="0"/>
    <n v="47750"/>
    <s v="Production Technician I"/>
    <d v="1968-06-06T00:00:00"/>
    <s v="F"/>
    <s v="US Citizen"/>
    <d v="2016-07-04T00:00:00"/>
    <m/>
    <s v="N/A-StillEmployed"/>
    <s v="Active"/>
    <s v="Production"/>
    <s v="Kelley Spirea"/>
    <x v="31"/>
    <x v="11"/>
  </r>
  <r>
    <s v="Sadki, Nore"/>
    <n v="10260"/>
    <n v="1"/>
    <n v="46428"/>
    <s v="Production Technician I"/>
    <d v="1974-12-21T00:00:00"/>
    <s v="M "/>
    <s v="US Citizen"/>
    <d v="2009-01-05T00:00:00"/>
    <d v="2018-07-30T00:00:00"/>
    <s v="relocation out of area"/>
    <s v="Voluntarily Terminated"/>
    <s v="Production"/>
    <s v="Michael Albert"/>
    <x v="1"/>
    <x v="11"/>
  </r>
  <r>
    <s v="Sahoo, Adil"/>
    <n v="10233"/>
    <n v="1"/>
    <n v="57975"/>
    <s v="Production Technician II"/>
    <d v="1986-04-26T00:00:00"/>
    <s v="M "/>
    <s v="US Citizen"/>
    <d v="2010-08-30T00:00:00"/>
    <m/>
    <s v="N/A-StillEmployed"/>
    <s v="Active"/>
    <s v="Production"/>
    <s v="Kelley Spirea"/>
    <x v="10"/>
    <x v="15"/>
  </r>
  <r>
    <s v="Salter, Jason"/>
    <n v="10229"/>
    <n v="1"/>
    <n v="88527"/>
    <s v="Data Analyst"/>
    <d v="1987-12-17T00:00:00"/>
    <s v="M "/>
    <s v="US Citizen"/>
    <d v="2015-01-05T00:00:00"/>
    <d v="2015-10-31T00:00:00"/>
    <s v="hours"/>
    <s v="Voluntarily Terminated"/>
    <s v="IT/IS"/>
    <s v="Simon Roup"/>
    <x v="2"/>
    <x v="14"/>
  </r>
  <r>
    <s v="Sander, Kamrin"/>
    <n v="10169"/>
    <n v="0"/>
    <n v="56147"/>
    <s v="Production Technician I"/>
    <d v="1988-07-10T00:00:00"/>
    <s v="F"/>
    <s v="US Citizen"/>
    <d v="2014-09-29T00:00:00"/>
    <m/>
    <s v="N/A-StillEmployed"/>
    <s v="Active"/>
    <s v="Production"/>
    <s v="Elijiah Gray"/>
    <x v="2"/>
    <x v="5"/>
  </r>
  <r>
    <s v="Sewkumar, Nori"/>
    <n v="10071"/>
    <n v="0"/>
    <n v="50923"/>
    <s v="Production Technician I"/>
    <d v="1975-03-10T00:00:00"/>
    <s v="F"/>
    <s v="US Citizen"/>
    <d v="2013-09-30T00:00:00"/>
    <m/>
    <s v="N/A-StillEmployed"/>
    <s v="Active"/>
    <s v="Production"/>
    <s v="Webster Butler"/>
    <x v="1"/>
    <x v="6"/>
  </r>
  <r>
    <s v="Shepard, Anita"/>
    <n v="10179"/>
    <n v="0"/>
    <n v="50750"/>
    <s v="Network Engineer"/>
    <d v="1981-04-14T00:00:00"/>
    <s v="F"/>
    <s v="US Citizen"/>
    <d v="2014-09-30T00:00:00"/>
    <m/>
    <s v="N/A-StillEmployed"/>
    <s v="Active"/>
    <s v="IT/IS"/>
    <s v="Peter Monroe"/>
    <x v="8"/>
    <x v="5"/>
  </r>
  <r>
    <s v="Shields, Seffi"/>
    <n v="10091"/>
    <n v="0"/>
    <n v="52087"/>
    <s v="Production Technician I"/>
    <d v="1985-08-24T00:00:00"/>
    <s v="F"/>
    <s v="US Citizen"/>
    <d v="2013-08-19T00:00:00"/>
    <m/>
    <s v="N/A-StillEmployed"/>
    <s v="Active"/>
    <s v="Production"/>
    <s v="Amy Dunn"/>
    <x v="22"/>
    <x v="6"/>
  </r>
  <r>
    <s v="Simard, Kramer"/>
    <n v="10178"/>
    <n v="1"/>
    <n v="87826"/>
    <s v="Data Analyst"/>
    <d v="1970-02-08T00:00:00"/>
    <s v="M "/>
    <s v="US Citizen"/>
    <d v="2015-01-05T00:00:00"/>
    <m/>
    <s v="N/A-StillEmployed"/>
    <s v="Active"/>
    <s v="IT/IS"/>
    <s v="Simon Roup"/>
    <x v="6"/>
    <x v="8"/>
  </r>
  <r>
    <s v="Singh, Nan"/>
    <n v="10039"/>
    <n v="0"/>
    <n v="51920"/>
    <s v="Administrative Assistant"/>
    <d v="1988-05-19T00:00:00"/>
    <s v="F"/>
    <s v="US Citizen"/>
    <d v="2015-05-01T00:00:00"/>
    <m/>
    <s v="N/A-StillEmployed"/>
    <s v="Active"/>
    <s v="Admin Offices"/>
    <s v="Brandon R. LeBlanc"/>
    <x v="2"/>
    <x v="8"/>
  </r>
  <r>
    <s v="Sloan, Constance"/>
    <n v="10095"/>
    <n v="0"/>
    <n v="63878"/>
    <s v="Production Technician II"/>
    <d v="1987-11-25T00:00:00"/>
    <s v="F"/>
    <s v="US Citizen"/>
    <d v="2009-10-26T00:00:00"/>
    <d v="2015-04-08T00:00:00"/>
    <s v="maternity leave - did not return"/>
    <s v="Voluntarily Terminated"/>
    <s v="Production"/>
    <s v="Michael Albert"/>
    <x v="16"/>
    <x v="3"/>
  </r>
  <r>
    <s v="Smith, Joe"/>
    <n v="10027"/>
    <n v="1"/>
    <n v="60656"/>
    <s v="Production Technician II"/>
    <d v="1963-10-30T00:00:00"/>
    <s v="M "/>
    <s v="US Citizen"/>
    <d v="2014-09-29T00:00:00"/>
    <m/>
    <s v="N/A-StillEmployed"/>
    <s v="Active"/>
    <s v="Production"/>
    <s v="Elijiah Gray"/>
    <x v="19"/>
    <x v="5"/>
  </r>
  <r>
    <s v="Smith, John"/>
    <n v="10291"/>
    <n v="1"/>
    <n v="72992"/>
    <s v="Sales Manager"/>
    <d v="1984-08-16T00:00:00"/>
    <s v="M "/>
    <s v="US Citizen"/>
    <d v="2014-05-18T00:00:00"/>
    <m/>
    <s v="N/A-StillEmployed"/>
    <s v="Active"/>
    <s v="Sales"/>
    <s v="Debra Houlihan"/>
    <x v="33"/>
    <x v="5"/>
  </r>
  <r>
    <s v="Smith, Leigh Ann"/>
    <n v="10153"/>
    <n v="0"/>
    <n v="55000"/>
    <s v="Administrative Assistant"/>
    <d v="1987-06-14T00:00:00"/>
    <s v="F"/>
    <s v="US Citizen"/>
    <d v="2011-09-26T00:00:00"/>
    <d v="2013-09-25T00:00:00"/>
    <s v="career change"/>
    <s v="Voluntarily Terminated"/>
    <s v="Admin Offices"/>
    <s v="Brandon R. LeBlanc"/>
    <x v="16"/>
    <x v="1"/>
  </r>
  <r>
    <s v="Smith, Sade"/>
    <n v="10157"/>
    <n v="0"/>
    <n v="58939"/>
    <s v="Production Technician I"/>
    <d v="1965-02-02T00:00:00"/>
    <s v="F"/>
    <s v="US Citizen"/>
    <d v="2013-11-11T00:00:00"/>
    <m/>
    <s v="N/A-StillEmployed"/>
    <s v="Active"/>
    <s v="Production"/>
    <s v="Ketsia Liebig"/>
    <x v="25"/>
    <x v="6"/>
  </r>
  <r>
    <s v="Soto, Julia"/>
    <n v="10119"/>
    <n v="0"/>
    <n v="66593"/>
    <s v="IT Support"/>
    <d v="1973-03-12T00:00:00"/>
    <s v="F"/>
    <s v="US Citizen"/>
    <d v="2011-06-10T00:00:00"/>
    <m/>
    <s v="N/A-StillEmployed"/>
    <s v="Active"/>
    <s v="IT/IS"/>
    <s v="Eric Dougall"/>
    <x v="28"/>
    <x v="0"/>
  </r>
  <r>
    <s v="Soze, Keyser"/>
    <n v="10180"/>
    <n v="1"/>
    <n v="87565"/>
    <s v="Sr. Network Engineer"/>
    <d v="1983-02-09T00:00:00"/>
    <s v="M "/>
    <s v="US Citizen"/>
    <d v="2016-06-30T00:00:00"/>
    <m/>
    <s v="N/A-StillEmployed"/>
    <s v="Active"/>
    <s v="IT/IS"/>
    <s v="Peter Monroe"/>
    <x v="0"/>
    <x v="11"/>
  </r>
  <r>
    <s v="Sparks, Taylor"/>
    <n v="10302"/>
    <n v="0"/>
    <n v="64021"/>
    <s v="Production Technician I"/>
    <d v="1968-07-20T00:00:00"/>
    <s v="F"/>
    <s v="US Citizen"/>
    <d v="2012-02-20T00:00:00"/>
    <m/>
    <s v="N/A-StillEmployed"/>
    <s v="Active"/>
    <s v="Production"/>
    <s v="Brannon Miller"/>
    <x v="31"/>
    <x v="4"/>
  </r>
  <r>
    <s v="Spirea, Kelley"/>
    <n v="10090"/>
    <n v="0"/>
    <n v="65714"/>
    <s v="Production Manager"/>
    <d v="1975-09-30T00:00:00"/>
    <s v="F"/>
    <s v="US Citizen"/>
    <d v="2012-10-02T00:00:00"/>
    <m/>
    <s v="N/A-StillEmployed"/>
    <s v="Active"/>
    <s v="Production"/>
    <s v="Janet King"/>
    <x v="1"/>
    <x v="4"/>
  </r>
  <r>
    <s v="Squatrito, Kristen"/>
    <n v="10030"/>
    <n v="0"/>
    <n v="62425"/>
    <s v="Production Technician I"/>
    <d v="1973-03-26T00:00:00"/>
    <s v="F"/>
    <s v="US Citizen"/>
    <d v="2013-05-13T00:00:00"/>
    <d v="2015-06-29T00:00:00"/>
    <s v="unhappy"/>
    <s v="Voluntarily Terminated"/>
    <s v="Production"/>
    <s v="David Stanley"/>
    <x v="28"/>
    <x v="13"/>
  </r>
  <r>
    <s v="Stanford,Barbara  M"/>
    <n v="10278"/>
    <n v="0"/>
    <n v="47961"/>
    <s v="Production Technician I"/>
    <d v="1982-08-25T00:00:00"/>
    <s v="F"/>
    <s v="US Citizen"/>
    <d v="2011-01-10T00:00:00"/>
    <m/>
    <s v="N/A-StillEmployed"/>
    <s v="Active"/>
    <s v="Production"/>
    <s v="Kissy Sullivan"/>
    <x v="27"/>
    <x v="0"/>
  </r>
  <r>
    <s v="Stansfield, Norman"/>
    <n v="10307"/>
    <n v="1"/>
    <n v="58273"/>
    <s v="Area Sales Manager"/>
    <d v="1974-05-09T00:00:00"/>
    <s v="M "/>
    <s v="US Citizen"/>
    <d v="2014-05-12T00:00:00"/>
    <m/>
    <s v="N/A-StillEmployed"/>
    <s v="Active"/>
    <s v="Sales"/>
    <s v="Lynn Daneault"/>
    <x v="7"/>
    <x v="5"/>
  </r>
  <r>
    <s v="Steans, Tyrone"/>
    <n v="10147"/>
    <n v="1"/>
    <n v="63003"/>
    <s v="Accountant I"/>
    <d v="1986-09-01T00:00:00"/>
    <s v="M "/>
    <s v="US Citizen"/>
    <d v="2014-09-29T00:00:00"/>
    <m/>
    <s v="N/A-StillEmployed"/>
    <s v="Active"/>
    <s v="Admin Offices"/>
    <s v="Brandon R. LeBlanc"/>
    <x v="10"/>
    <x v="5"/>
  </r>
  <r>
    <s v="Stoica, Rick"/>
    <n v="10266"/>
    <n v="1"/>
    <n v="61355"/>
    <s v="Production Technician I"/>
    <d v="1985-03-14T00:00:00"/>
    <s v="M "/>
    <s v="US Citizen"/>
    <d v="2014-02-17T00:00:00"/>
    <m/>
    <s v="N/A-StillEmployed"/>
    <s v="Active"/>
    <s v="Production"/>
    <s v="Kelley Spirea"/>
    <x v="22"/>
    <x v="5"/>
  </r>
  <r>
    <s v="Strong, Caitrin"/>
    <n v="10241"/>
    <n v="0"/>
    <n v="60120"/>
    <s v="Area Sales Manager"/>
    <d v="1989-05-12T00:00:00"/>
    <s v="F"/>
    <s v="US Citizen"/>
    <d v="2010-09-27T00:00:00"/>
    <m/>
    <s v="N/A-StillEmployed"/>
    <s v="Active"/>
    <s v="Sales"/>
    <s v="John Smith"/>
    <x v="3"/>
    <x v="15"/>
  </r>
  <r>
    <s v="Sullivan, Kissy"/>
    <n v="10158"/>
    <n v="0"/>
    <n v="63682"/>
    <s v="Production Manager"/>
    <d v="1978-03-28T00:00:00"/>
    <s v="F"/>
    <s v="US Citizen"/>
    <d v="2009-01-08T00:00:00"/>
    <m/>
    <s v="N/A-StillEmployed"/>
    <s v="Active"/>
    <s v="Production"/>
    <s v="Janet King"/>
    <x v="23"/>
    <x v="7"/>
  </r>
  <r>
    <s v="Sullivan, Timothy"/>
    <n v="10117"/>
    <n v="1"/>
    <n v="63025"/>
    <s v="Production Technician I"/>
    <d v="1982-10-07T00:00:00"/>
    <s v="M "/>
    <s v="US Citizen"/>
    <d v="2015-01-05T00:00:00"/>
    <m/>
    <s v="N/A-StillEmployed"/>
    <s v="Active"/>
    <s v="Production"/>
    <s v="Michael Albert"/>
    <x v="27"/>
    <x v="8"/>
  </r>
  <r>
    <s v="Sutwell, Barbara"/>
    <n v="10209"/>
    <n v="0"/>
    <n v="59238"/>
    <s v="Production Technician I"/>
    <d v="1968-08-15T00:00:00"/>
    <s v="F"/>
    <s v="Eligible NonCitizen"/>
    <d v="2012-05-14T00:00:00"/>
    <m/>
    <s v="N/A-StillEmployed"/>
    <s v="Active"/>
    <s v="Production"/>
    <s v="Elijiah Gray"/>
    <x v="31"/>
    <x v="4"/>
  </r>
  <r>
    <s v="Szabo, Andrew"/>
    <n v="10024"/>
    <n v="1"/>
    <n v="92989"/>
    <s v="Software Engineer"/>
    <d v="1983-05-06T00:00:00"/>
    <s v="M "/>
    <s v="US Citizen"/>
    <d v="2014-07-07T00:00:00"/>
    <m/>
    <s v="N/A-StillEmployed"/>
    <s v="Active"/>
    <s v="Software Engineering"/>
    <s v="Alex Sweetwater"/>
    <x v="0"/>
    <x v="5"/>
  </r>
  <r>
    <s v="Tannen, Biff"/>
    <n v="10173"/>
    <n v="1"/>
    <n v="90100"/>
    <s v="BI Developer"/>
    <d v="1987-10-24T00:00:00"/>
    <s v="M "/>
    <s v="US Citizen"/>
    <d v="2017-04-20T00:00:00"/>
    <m/>
    <s v="N/A-StillEmployed"/>
    <s v="Active"/>
    <s v="IT/IS"/>
    <s v="Brian Champaigne"/>
    <x v="16"/>
    <x v="17"/>
  </r>
  <r>
    <s v="Tavares, Desiree"/>
    <n v="10221"/>
    <n v="0"/>
    <n v="60754"/>
    <s v="Production Technician I"/>
    <d v="1975-04-03T00:00:00"/>
    <s v="F"/>
    <s v="Non-Citizen"/>
    <d v="2009-04-27T00:00:00"/>
    <d v="2013-04-01T00:00:00"/>
    <s v="Another position"/>
    <s v="Voluntarily Terminated"/>
    <s v="Production"/>
    <s v="Webster Butler"/>
    <x v="1"/>
    <x v="12"/>
  </r>
  <r>
    <s v="Tejeda, Lenora"/>
    <n v="10146"/>
    <n v="0"/>
    <n v="72202"/>
    <s v="Production Technician II"/>
    <d v="1953-05-24T00:00:00"/>
    <s v="F"/>
    <s v="US Citizen"/>
    <d v="2011-05-16T00:00:00"/>
    <d v="2017-07-08T00:00:00"/>
    <s v="Another position"/>
    <s v="Voluntarily Terminated"/>
    <s v="Production"/>
    <s v="Elijiah Gray"/>
    <x v="36"/>
    <x v="9"/>
  </r>
  <r>
    <s v="Terry, Sharlene"/>
    <n v="10161"/>
    <n v="0"/>
    <n v="58370"/>
    <s v="Area Sales Manager"/>
    <d v="1965-05-07T00:00:00"/>
    <s v="F"/>
    <s v="US Citizen"/>
    <d v="2014-09-29T00:00:00"/>
    <m/>
    <s v="N/A-StillEmployed"/>
    <s v="Active"/>
    <s v="Sales"/>
    <s v="Lynn Daneault"/>
    <x v="25"/>
    <x v="5"/>
  </r>
  <r>
    <s v="Theamstern, Sophia"/>
    <n v="10141"/>
    <n v="0"/>
    <n v="48413"/>
    <s v="Production Technician I"/>
    <d v="1965-05-09T00:00:00"/>
    <s v="F"/>
    <s v="US Citizen"/>
    <d v="2011-07-05T00:00:00"/>
    <d v="2016-09-05T00:00:00"/>
    <s v="return to school"/>
    <s v="Voluntarily Terminated"/>
    <s v="Production"/>
    <s v="Amy Dunn"/>
    <x v="25"/>
    <x v="3"/>
  </r>
  <r>
    <s v="Thibaud, Kenneth"/>
    <n v="10268"/>
    <n v="1"/>
    <n v="67176"/>
    <s v="Production Technician II"/>
    <d v="1975-09-16T00:00:00"/>
    <s v="M "/>
    <s v="US Citizen"/>
    <d v="2007-06-25T00:00:00"/>
    <d v="2010-08-30T00:00:00"/>
    <s v="military"/>
    <s v="Voluntarily Terminated"/>
    <s v="Production"/>
    <s v="Webster Butler"/>
    <x v="1"/>
    <x v="12"/>
  </r>
  <r>
    <s v="Tippett, Jeanette"/>
    <n v="10123"/>
    <n v="0"/>
    <n v="56339"/>
    <s v="Production Technician I"/>
    <d v="1967-06-05T00:00:00"/>
    <s v="F"/>
    <s v="US Citizen"/>
    <d v="2013-02-18T00:00:00"/>
    <m/>
    <s v="N/A-StillEmployed"/>
    <s v="Active"/>
    <s v="Production"/>
    <s v="Brannon Miller"/>
    <x v="14"/>
    <x v="6"/>
  </r>
  <r>
    <s v="Torrence, Jack"/>
    <n v="10013"/>
    <n v="1"/>
    <n v="64397"/>
    <s v="Area Sales Manager"/>
    <d v="1968-01-15T00:00:00"/>
    <s v="M "/>
    <s v="US Citizen"/>
    <d v="2006-01-09T00:00:00"/>
    <m/>
    <s v="N/A-StillEmployed"/>
    <s v="Active"/>
    <s v="Sales"/>
    <s v="Lynn Daneault"/>
    <x v="31"/>
    <x v="19"/>
  </r>
  <r>
    <s v="Trang, Mei"/>
    <n v="10287"/>
    <n v="0"/>
    <n v="63025"/>
    <s v="Production Technician I"/>
    <d v="1983-05-16T00:00:00"/>
    <s v="F"/>
    <s v="US Citizen"/>
    <d v="2014-02-17T00:00:00"/>
    <m/>
    <s v="N/A-StillEmployed"/>
    <s v="Active"/>
    <s v="Production"/>
    <s v="David Stanley"/>
    <x v="0"/>
    <x v="5"/>
  </r>
  <r>
    <s v="Tredinnick, Neville"/>
    <n v="10044"/>
    <n v="1"/>
    <n v="75281"/>
    <s v="Network Engineer"/>
    <d v="1988-05-05T00:00:00"/>
    <s v="M "/>
    <s v="US Citizen"/>
    <d v="2015-01-05T00:00:00"/>
    <d v="2016-02-12T00:00:00"/>
    <s v="medical issues"/>
    <s v="Voluntarily Terminated"/>
    <s v="IT/IS"/>
    <s v="Peter Monroe"/>
    <x v="2"/>
    <x v="1"/>
  </r>
  <r>
    <s v="True, Edward"/>
    <n v="10102"/>
    <n v="1"/>
    <n v="100416"/>
    <s v="Software Engineer"/>
    <d v="1983-06-14T00:00:00"/>
    <s v="M "/>
    <s v="Non-Citizen"/>
    <d v="2013-02-18T00:00:00"/>
    <d v="2018-04-15T00:00:00"/>
    <s v="medical issues"/>
    <s v="Voluntarily Terminated"/>
    <s v="Software Engineering"/>
    <s v="Alex Sweetwater"/>
    <x v="0"/>
    <x v="3"/>
  </r>
  <r>
    <s v="Trzeciak, Cybil"/>
    <n v="10270"/>
    <n v="0"/>
    <n v="74813"/>
    <s v="Production Technician II"/>
    <d v="1985-03-15T00:00:00"/>
    <s v="F"/>
    <s v="US Citizen"/>
    <d v="2011-01-10T00:00:00"/>
    <d v="2014-07-02T00:00:00"/>
    <s v="unhappy"/>
    <s v="Voluntarily Terminated"/>
    <s v="Production"/>
    <s v="Amy Dunn"/>
    <x v="22"/>
    <x v="12"/>
  </r>
  <r>
    <s v="Turpin, Jumil"/>
    <n v="10045"/>
    <n v="1"/>
    <n v="76029"/>
    <s v="Network Engineer"/>
    <d v="1969-03-31T00:00:00"/>
    <s v="M "/>
    <s v="Eligible NonCitizen"/>
    <d v="2015-03-30T00:00:00"/>
    <m/>
    <s v="N/A-StillEmployed"/>
    <s v="Active"/>
    <s v="IT/IS"/>
    <s v="Peter Monroe"/>
    <x v="17"/>
    <x v="8"/>
  </r>
  <r>
    <s v="Valentin,Jackie"/>
    <n v="10205"/>
    <n v="0"/>
    <n v="57859"/>
    <s v="Area Sales Manager"/>
    <d v="1991-05-23T00:00:00"/>
    <s v="F"/>
    <s v="US Citizen"/>
    <d v="2011-07-05T00:00:00"/>
    <m/>
    <s v="N/A-StillEmployed"/>
    <s v="Active"/>
    <s v="Sales"/>
    <s v="John Smith"/>
    <x v="29"/>
    <x v="0"/>
  </r>
  <r>
    <s v="Veera, Abdellah"/>
    <n v="10014"/>
    <n v="1"/>
    <n v="58523"/>
    <s v="Production Technician I"/>
    <d v="1987-01-31T00:00:00"/>
    <s v="M "/>
    <s v="US Citizen"/>
    <d v="2012-08-13T00:00:00"/>
    <d v="2016-02-05T00:00:00"/>
    <s v="maternity leave - did not return"/>
    <s v="Voluntarily Terminated"/>
    <s v="Production"/>
    <s v="Kissy Sullivan"/>
    <x v="16"/>
    <x v="12"/>
  </r>
  <r>
    <s v="Vega, Vincent"/>
    <n v="10144"/>
    <n v="1"/>
    <n v="88976"/>
    <s v="Production Manager"/>
    <d v="1968-10-10T00:00:00"/>
    <s v="M "/>
    <s v="US Citizen"/>
    <d v="2011-08-01T00:00:00"/>
    <m/>
    <s v="N/A-StillEmployed"/>
    <s v="Active"/>
    <s v="Production"/>
    <s v="Janet King"/>
    <x v="31"/>
    <x v="0"/>
  </r>
  <r>
    <s v="Villanueva, Noah"/>
    <n v="10253"/>
    <n v="1"/>
    <n v="55875"/>
    <s v="Area Sales Manager"/>
    <d v="1989-07-11T00:00:00"/>
    <s v="M "/>
    <s v="US Citizen"/>
    <d v="2012-03-05T00:00:00"/>
    <m/>
    <s v="N/A-StillEmployed"/>
    <s v="Active"/>
    <s v="Sales"/>
    <s v="John Smith"/>
    <x v="3"/>
    <x v="4"/>
  </r>
  <r>
    <s v="Voldemort, Lord"/>
    <n v="10118"/>
    <n v="1"/>
    <n v="113999"/>
    <s v="Database Administrator"/>
    <d v="1986-08-07T00:00:00"/>
    <s v="M "/>
    <s v="US Citizen"/>
    <d v="2015-02-16T00:00:00"/>
    <d v="2017-02-22T00:00:00"/>
    <s v="no-call, no-show"/>
    <s v="Terminated for Cause"/>
    <s v="IT/IS"/>
    <s v="Simon Roup"/>
    <x v="10"/>
    <x v="13"/>
  </r>
  <r>
    <s v="Volk, Colleen"/>
    <n v="10022"/>
    <n v="0"/>
    <n v="49773"/>
    <s v="Production Technician I"/>
    <d v="1986-06-03T00:00:00"/>
    <s v="F"/>
    <s v="US Citizen"/>
    <d v="2011-09-26T00:00:00"/>
    <d v="2016-02-08T00:00:00"/>
    <s v="gross misconduct"/>
    <s v="Terminated for Cause"/>
    <s v="Production"/>
    <s v="Kelley Spirea"/>
    <x v="10"/>
    <x v="10"/>
  </r>
  <r>
    <s v="Von Massenbach, Anna"/>
    <n v="10183"/>
    <n v="0"/>
    <n v="62068"/>
    <s v="Production Technician I"/>
    <d v="1985-04-06T00:00:00"/>
    <s v="F"/>
    <s v="US Citizen"/>
    <d v="2015-07-05T00:00:00"/>
    <m/>
    <s v="N/A-StillEmployed"/>
    <s v="Active"/>
    <s v="Production"/>
    <s v="Michael Albert"/>
    <x v="22"/>
    <x v="8"/>
  </r>
  <r>
    <s v="Walker, Roger"/>
    <n v="10190"/>
    <n v="1"/>
    <n v="66541"/>
    <s v="Production Technician II"/>
    <d v="1976-02-10T00:00:00"/>
    <s v="M "/>
    <s v="US Citizen"/>
    <d v="2014-08-18T00:00:00"/>
    <m/>
    <s v="N/A-StillEmployed"/>
    <s v="Active"/>
    <s v="Production"/>
    <s v="Ketsia Liebig"/>
    <x v="24"/>
    <x v="5"/>
  </r>
  <r>
    <s v="Wallace, Courtney  E"/>
    <n v="10274"/>
    <n v="0"/>
    <n v="80512"/>
    <s v="Production Manager"/>
    <d v="1955-11-14T00:00:00"/>
    <s v="F"/>
    <s v="US Citizen"/>
    <d v="2011-09-26T00:00:00"/>
    <d v="2012-01-02T00:00:00"/>
    <s v="Another position"/>
    <s v="Voluntarily Terminated"/>
    <s v="Production"/>
    <s v="Janet King"/>
    <x v="30"/>
    <x v="14"/>
  </r>
  <r>
    <s v="Wallace, Theresa"/>
    <n v="10293"/>
    <n v="0"/>
    <n v="50274"/>
    <s v="Production Technician I"/>
    <d v="1980-08-02T00:00:00"/>
    <s v="F"/>
    <s v="US Citizen"/>
    <d v="2012-08-13T00:00:00"/>
    <d v="2015-09-01T00:00:00"/>
    <s v="career change"/>
    <s v="Voluntarily Terminated"/>
    <s v="Production"/>
    <s v="Elijiah Gray"/>
    <x v="18"/>
    <x v="12"/>
  </r>
  <r>
    <s v="Wang, Charlie"/>
    <n v="10172"/>
    <n v="1"/>
    <n v="84903"/>
    <s v="Senior BI Developer"/>
    <d v="1981-07-08T00:00:00"/>
    <s v="M "/>
    <s v="US Citizen"/>
    <d v="2017-02-15T00:00:00"/>
    <m/>
    <s v="N/A-StillEmployed"/>
    <s v="Active"/>
    <s v="IT/IS"/>
    <s v="Brian Champaigne"/>
    <x v="8"/>
    <x v="17"/>
  </r>
  <r>
    <s v="Warfield, Sarah"/>
    <n v="10127"/>
    <n v="0"/>
    <n v="107226"/>
    <s v="Sr. Network Engineer"/>
    <d v="1978-05-02T00:00:00"/>
    <s v="F"/>
    <s v="US Citizen"/>
    <d v="2015-03-30T00:00:00"/>
    <m/>
    <s v="N/A-StillEmployed"/>
    <s v="Active"/>
    <s v="IT/IS"/>
    <s v="Peter Monroe"/>
    <x v="23"/>
    <x v="8"/>
  </r>
  <r>
    <s v="Whittier, Scott"/>
    <n v="10072"/>
    <n v="1"/>
    <n v="58371"/>
    <s v="Production Technician I"/>
    <d v="1987-05-24T00:00:00"/>
    <s v="M "/>
    <s v="US Citizen"/>
    <d v="2011-01-10T00:00:00"/>
    <d v="2014-05-15T00:00:00"/>
    <s v="hours"/>
    <s v="Voluntarily Terminated"/>
    <s v="Production"/>
    <s v="Webster Butler"/>
    <x v="16"/>
    <x v="12"/>
  </r>
  <r>
    <s v="Wilber, Barry"/>
    <n v="10048"/>
    <n v="1"/>
    <n v="55140"/>
    <s v="Production Technician I"/>
    <d v="1965-09-09T00:00:00"/>
    <s v="M "/>
    <s v="Eligible NonCitizen"/>
    <d v="2011-05-16T00:00:00"/>
    <d v="2015-09-07T00:00:00"/>
    <s v="unhappy"/>
    <s v="Voluntarily Terminated"/>
    <s v="Production"/>
    <s v="Amy Dunn"/>
    <x v="25"/>
    <x v="10"/>
  </r>
  <r>
    <s v="Wilkes, Annie"/>
    <n v="10204"/>
    <n v="0"/>
    <n v="58062"/>
    <s v="Production Technician I"/>
    <d v="1983-07-30T00:00:00"/>
    <s v="F"/>
    <s v="US Citizen"/>
    <d v="2011-01-10T00:00:00"/>
    <d v="2012-05-14T00:00:00"/>
    <s v="Another position"/>
    <s v="Voluntarily Terminated"/>
    <s v="Production"/>
    <s v="Ketsia Liebig"/>
    <x v="0"/>
    <x v="1"/>
  </r>
  <r>
    <s v="Williams, Jacquelyn"/>
    <n v="10264"/>
    <n v="0"/>
    <n v="59728"/>
    <s v="Production Technician I"/>
    <d v="1969-10-02T00:00:00"/>
    <s v="F"/>
    <s v="US Citizen"/>
    <d v="2012-01-09T00:00:00"/>
    <d v="2015-06-27T00:00:00"/>
    <s v="relocation out of area"/>
    <s v="Voluntarily Terminated"/>
    <s v="Production"/>
    <s v="Ketsia Liebig"/>
    <x v="17"/>
    <x v="12"/>
  </r>
  <r>
    <s v="Winthrop, Jordan"/>
    <n v="10033"/>
    <n v="1"/>
    <n v="70507"/>
    <s v="Production Technician II"/>
    <d v="1958-11-07T00:00:00"/>
    <s v="M "/>
    <s v="US Citizen"/>
    <d v="2013-01-07T00:00:00"/>
    <d v="2016-02-21T00:00:00"/>
    <s v="retiring"/>
    <s v="Voluntarily Terminated"/>
    <s v="Production"/>
    <s v="Brannon Miller"/>
    <x v="37"/>
    <x v="12"/>
  </r>
  <r>
    <s v="Wolk, Hang  T"/>
    <n v="10174"/>
    <n v="0"/>
    <n v="60446"/>
    <s v="Production Technician II"/>
    <d v="1985-04-20T00:00:00"/>
    <s v="F"/>
    <s v="US Citizen"/>
    <d v="2014-09-29T00:00:00"/>
    <m/>
    <s v="N/A-StillEmployed"/>
    <s v="Active"/>
    <s v="Production"/>
    <s v="David Stanley"/>
    <x v="22"/>
    <x v="5"/>
  </r>
  <r>
    <s v="Woodson, Jason"/>
    <n v="10135"/>
    <n v="1"/>
    <n v="65893"/>
    <s v="Production Technician II"/>
    <d v="1985-05-11T00:00:00"/>
    <s v="M "/>
    <s v="US Citizen"/>
    <d v="2014-07-07T00:00:00"/>
    <m/>
    <s v="N/A-StillEmployed"/>
    <s v="Active"/>
    <s v="Production"/>
    <s v="Kissy Sullivan"/>
    <x v="22"/>
    <x v="5"/>
  </r>
  <r>
    <s v="Ybarra, Catherine"/>
    <n v="10301"/>
    <n v="0"/>
    <n v="48513"/>
    <s v="Production Technician I"/>
    <d v="1982-05-04T00:00:00"/>
    <s v="F"/>
    <s v="US Citizen"/>
    <d v="2008-09-02T00:00:00"/>
    <d v="2015-09-29T00:00:00"/>
    <s v="Another position"/>
    <s v="Voluntarily Terminated"/>
    <s v="Production"/>
    <s v="Brannon Miller"/>
    <x v="27"/>
    <x v="16"/>
  </r>
  <r>
    <s v="Zamora, Jennifer"/>
    <n v="10010"/>
    <n v="0"/>
    <n v="220450"/>
    <s v="CIO"/>
    <d v="1979-08-30T00:00:00"/>
    <s v="F"/>
    <s v="US Citizen"/>
    <d v="2010-04-10T00:00:00"/>
    <m/>
    <s v="N/A-StillEmployed"/>
    <s v="Active"/>
    <s v="IT/IS"/>
    <s v="Janet King"/>
    <x v="5"/>
    <x v="15"/>
  </r>
  <r>
    <s v="Zhou, Julia"/>
    <n v="10043"/>
    <n v="0"/>
    <n v="89292"/>
    <s v="Data Analyst"/>
    <d v="1979-02-24T00:00:00"/>
    <s v="F"/>
    <s v="US Citizen"/>
    <d v="2015-03-30T00:00:00"/>
    <m/>
    <s v="N/A-StillEmployed"/>
    <s v="Active"/>
    <s v="IT/IS"/>
    <s v="Simon Roup"/>
    <x v="5"/>
    <x v="8"/>
  </r>
  <r>
    <s v="Zima, Colleen"/>
    <n v="10271"/>
    <n v="0"/>
    <n v="45046"/>
    <s v="Production Technician I"/>
    <d v="1978-08-17T00:00:00"/>
    <s v="F"/>
    <s v="US Citizen"/>
    <d v="2014-09-29T00:00:00"/>
    <m/>
    <s v="N/A-StillEmployed"/>
    <s v="Active"/>
    <s v="Production"/>
    <s v="David Stanley"/>
    <x v="23"/>
    <x v="5"/>
  </r>
  <r>
    <s v="Підсумок"/>
    <m/>
    <m/>
    <n v="69020.684887459807"/>
    <m/>
    <m/>
    <m/>
    <m/>
    <m/>
    <m/>
    <m/>
    <n v="311"/>
    <m/>
    <n v="311"/>
    <x v="38"/>
    <x v="20"/>
  </r>
  <r>
    <m/>
    <m/>
    <m/>
    <m/>
    <m/>
    <m/>
    <m/>
    <m/>
    <m/>
    <m/>
    <m/>
    <m/>
    <m/>
    <m/>
    <x v="39"/>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2A496A-A047-4258-90E9-EEA28A2DD2FD}" name="Зведена таблиця1" cacheId="0" applyNumberFormats="0" applyBorderFormats="0" applyFontFormats="0" applyPatternFormats="0" applyAlignmentFormats="0" applyWidthHeightFormats="1" dataCaption="Значення" updatedVersion="8" minRefreshableVersion="3" useAutoFormatting="1" itemPrintTitles="1" createdVersion="8" indent="0" outline="1" outlineData="1" multipleFieldFilters="0" chartFormat="11" rowHeaderCaption="Department">
  <location ref="A3:B26" firstHeaderRow="1" firstDataRow="1" firstDataCol="1"/>
  <pivotFields count="16">
    <pivotField showAll="0"/>
    <pivotField showAll="0"/>
    <pivotField showAll="0"/>
    <pivotField numFmtId="2" showAll="0"/>
    <pivotField showAll="0"/>
    <pivotField numFmtId="14" showAll="0"/>
    <pivotField showAll="0">
      <items count="3">
        <item x="1"/>
        <item x="0"/>
        <item t="default"/>
      </items>
    </pivotField>
    <pivotField showAll="0"/>
    <pivotField numFmtId="14" showAll="0"/>
    <pivotField showAll="0"/>
    <pivotField showAll="0"/>
    <pivotField axis="axisRow" dataField="1" showAll="0">
      <items count="4">
        <item x="0"/>
        <item x="2"/>
        <item x="1"/>
        <item t="default"/>
      </items>
    </pivotField>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12"/>
    <field x="11"/>
  </rowFields>
  <rowItems count="23">
    <i>
      <x v="3"/>
    </i>
    <i r="1">
      <x/>
    </i>
    <i r="1">
      <x v="1"/>
    </i>
    <i r="1">
      <x v="2"/>
    </i>
    <i>
      <x v="2"/>
    </i>
    <i r="1">
      <x/>
    </i>
    <i r="1">
      <x v="1"/>
    </i>
    <i r="1">
      <x v="2"/>
    </i>
    <i>
      <x v="4"/>
    </i>
    <i r="1">
      <x/>
    </i>
    <i r="1">
      <x v="1"/>
    </i>
    <i r="1">
      <x v="2"/>
    </i>
    <i>
      <x v="5"/>
    </i>
    <i r="1">
      <x/>
    </i>
    <i r="1">
      <x v="1"/>
    </i>
    <i r="1">
      <x v="2"/>
    </i>
    <i>
      <x/>
    </i>
    <i r="1">
      <x/>
    </i>
    <i r="1">
      <x v="1"/>
    </i>
    <i r="1">
      <x v="2"/>
    </i>
    <i>
      <x v="1"/>
    </i>
    <i r="1">
      <x/>
    </i>
    <i t="grand">
      <x/>
    </i>
  </rowItems>
  <colItems count="1">
    <i/>
  </colItems>
  <dataFields count="1">
    <dataField name="Кількість з EmploymentStatus" fld="11"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1" count="1" selected="0">
            <x v="1"/>
          </reference>
          <reference field="12" count="1" selected="0">
            <x v="3"/>
          </reference>
        </references>
      </pivotArea>
    </chartFormat>
    <chartFormat chart="0" format="2">
      <pivotArea type="data" outline="0" fieldPosition="0">
        <references count="3">
          <reference field="4294967294" count="1" selected="0">
            <x v="0"/>
          </reference>
          <reference field="11" count="1" selected="0">
            <x v="2"/>
          </reference>
          <reference field="12" count="1" selected="0">
            <x v="3"/>
          </reference>
        </references>
      </pivotArea>
    </chartFormat>
    <chartFormat chart="0" format="3">
      <pivotArea type="data" outline="0" fieldPosition="0">
        <references count="3">
          <reference field="4294967294" count="1" selected="0">
            <x v="0"/>
          </reference>
          <reference field="11" count="1" selected="0">
            <x v="2"/>
          </reference>
          <reference field="12" count="1" selected="0">
            <x v="2"/>
          </reference>
        </references>
      </pivotArea>
    </chartFormat>
    <chartFormat chart="0" format="4">
      <pivotArea type="data" outline="0" fieldPosition="0">
        <references count="3">
          <reference field="4294967294" count="1" selected="0">
            <x v="0"/>
          </reference>
          <reference field="11" count="1" selected="0">
            <x v="2"/>
          </reference>
          <reference field="12" count="1" selected="0">
            <x v="4"/>
          </reference>
        </references>
      </pivotArea>
    </chartFormat>
    <chartFormat chart="0" format="5">
      <pivotArea type="data" outline="0" fieldPosition="0">
        <references count="3">
          <reference field="4294967294" count="1" selected="0">
            <x v="0"/>
          </reference>
          <reference field="11" count="1" selected="0">
            <x v="2"/>
          </reference>
          <reference field="12" count="1" selected="0">
            <x v="5"/>
          </reference>
        </references>
      </pivotArea>
    </chartFormat>
    <chartFormat chart="0" format="6">
      <pivotArea type="data" outline="0" fieldPosition="0">
        <references count="3">
          <reference field="4294967294" count="1" selected="0">
            <x v="0"/>
          </reference>
          <reference field="11" count="1" selected="0">
            <x v="2"/>
          </reference>
          <reference field="12" count="1" selected="0">
            <x v="0"/>
          </reference>
        </references>
      </pivotArea>
    </chartFormat>
    <chartFormat chart="0" format="7">
      <pivotArea type="data" outline="0" fieldPosition="0">
        <references count="3">
          <reference field="4294967294" count="1" selected="0">
            <x v="0"/>
          </reference>
          <reference field="11" count="1" selected="0">
            <x v="1"/>
          </reference>
          <reference field="12" count="1" selected="0">
            <x v="2"/>
          </reference>
        </references>
      </pivotArea>
    </chartFormat>
    <chartFormat chart="0" format="8">
      <pivotArea type="data" outline="0" fieldPosition="0">
        <references count="3">
          <reference field="4294967294" count="1" selected="0">
            <x v="0"/>
          </reference>
          <reference field="11" count="1" selected="0">
            <x v="1"/>
          </reference>
          <reference field="12" count="1" selected="0">
            <x v="4"/>
          </reference>
        </references>
      </pivotArea>
    </chartFormat>
    <chartFormat chart="0" format="9">
      <pivotArea type="data" outline="0" fieldPosition="0">
        <references count="3">
          <reference field="4294967294" count="1" selected="0">
            <x v="0"/>
          </reference>
          <reference field="11" count="1" selected="0">
            <x v="1"/>
          </reference>
          <reference field="12" count="1" selected="0">
            <x v="5"/>
          </reference>
        </references>
      </pivotArea>
    </chartFormat>
    <chartFormat chart="0" format="10">
      <pivotArea type="data" outline="0" fieldPosition="0">
        <references count="3">
          <reference field="4294967294" count="1" selected="0">
            <x v="0"/>
          </reference>
          <reference field="11" count="1" selected="0">
            <x v="1"/>
          </reference>
          <reference field="12" count="1" selected="0">
            <x v="0"/>
          </reference>
        </references>
      </pivotArea>
    </chartFormat>
    <chartFormat chart="0" format="11">
      <pivotArea type="data" outline="0" fieldPosition="0">
        <references count="3">
          <reference field="4294967294" count="1" selected="0">
            <x v="0"/>
          </reference>
          <reference field="11" count="1" selected="0">
            <x v="0"/>
          </reference>
          <reference field="12" count="1" selected="0">
            <x v="3"/>
          </reference>
        </references>
      </pivotArea>
    </chartFormat>
    <chartFormat chart="0" format="12">
      <pivotArea type="data" outline="0" fieldPosition="0">
        <references count="3">
          <reference field="4294967294" count="1" selected="0">
            <x v="0"/>
          </reference>
          <reference field="11" count="1" selected="0">
            <x v="0"/>
          </reference>
          <reference field="12" count="1" selected="0">
            <x v="2"/>
          </reference>
        </references>
      </pivotArea>
    </chartFormat>
    <chartFormat chart="0" format="13">
      <pivotArea type="data" outline="0" fieldPosition="0">
        <references count="3">
          <reference field="4294967294" count="1" selected="0">
            <x v="0"/>
          </reference>
          <reference field="11" count="1" selected="0">
            <x v="0"/>
          </reference>
          <reference field="12" count="1" selected="0">
            <x v="4"/>
          </reference>
        </references>
      </pivotArea>
    </chartFormat>
    <chartFormat chart="0" format="14">
      <pivotArea type="data" outline="0" fieldPosition="0">
        <references count="3">
          <reference field="4294967294" count="1" selected="0">
            <x v="0"/>
          </reference>
          <reference field="11" count="1" selected="0">
            <x v="0"/>
          </reference>
          <reference field="12" count="1" selected="0">
            <x v="5"/>
          </reference>
        </references>
      </pivotArea>
    </chartFormat>
    <chartFormat chart="0" format="15">
      <pivotArea type="data" outline="0" fieldPosition="0">
        <references count="3">
          <reference field="4294967294" count="1" selected="0">
            <x v="0"/>
          </reference>
          <reference field="11" count="1" selected="0">
            <x v="0"/>
          </reference>
          <reference field="12" count="1" selected="0">
            <x v="0"/>
          </reference>
        </references>
      </pivotArea>
    </chartFormat>
    <chartFormat chart="0" format="16">
      <pivotArea type="data" outline="0" fieldPosition="0">
        <references count="3">
          <reference field="4294967294" count="1" selected="0">
            <x v="0"/>
          </reference>
          <reference field="11" count="1" selected="0">
            <x v="0"/>
          </reference>
          <reference field="12" count="1" selected="0">
            <x v="1"/>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3">
          <reference field="4294967294" count="1" selected="0">
            <x v="0"/>
          </reference>
          <reference field="11" count="1" selected="0">
            <x v="0"/>
          </reference>
          <reference field="12" count="1" selected="0">
            <x v="3"/>
          </reference>
        </references>
      </pivotArea>
    </chartFormat>
    <chartFormat chart="10" format="26">
      <pivotArea type="data" outline="0" fieldPosition="0">
        <references count="3">
          <reference field="4294967294" count="1" selected="0">
            <x v="0"/>
          </reference>
          <reference field="11" count="1" selected="0">
            <x v="0"/>
          </reference>
          <reference field="12" count="1" selected="0">
            <x v="2"/>
          </reference>
        </references>
      </pivotArea>
    </chartFormat>
    <chartFormat chart="10" format="27">
      <pivotArea type="data" outline="0" fieldPosition="0">
        <references count="3">
          <reference field="4294967294" count="1" selected="0">
            <x v="0"/>
          </reference>
          <reference field="11" count="1" selected="0">
            <x v="0"/>
          </reference>
          <reference field="12" count="1" selected="0">
            <x v="4"/>
          </reference>
        </references>
      </pivotArea>
    </chartFormat>
    <chartFormat chart="10" format="28">
      <pivotArea type="data" outline="0" fieldPosition="0">
        <references count="3">
          <reference field="4294967294" count="1" selected="0">
            <x v="0"/>
          </reference>
          <reference field="11" count="1" selected="0">
            <x v="0"/>
          </reference>
          <reference field="12" count="1" selected="0">
            <x v="5"/>
          </reference>
        </references>
      </pivotArea>
    </chartFormat>
    <chartFormat chart="10" format="29">
      <pivotArea type="data" outline="0" fieldPosition="0">
        <references count="3">
          <reference field="4294967294" count="1" selected="0">
            <x v="0"/>
          </reference>
          <reference field="11" count="1" selected="0">
            <x v="0"/>
          </reference>
          <reference field="12" count="1" selected="0">
            <x v="0"/>
          </reference>
        </references>
      </pivotArea>
    </chartFormat>
    <chartFormat chart="10" format="30">
      <pivotArea type="data" outline="0" fieldPosition="0">
        <references count="3">
          <reference field="4294967294" count="1" selected="0">
            <x v="0"/>
          </reference>
          <reference field="11"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C9EE08-55A3-4A4F-80AE-C08BB2D6FC1E}" name="Зведена таблиця1" cacheId="0" applyNumberFormats="0" applyBorderFormats="0" applyFontFormats="0" applyPatternFormats="0" applyAlignmentFormats="0" applyWidthHeightFormats="1" dataCaption="Значення" updatedVersion="8" minRefreshableVersion="3" useAutoFormatting="1" itemPrintTitles="1" createdVersion="8" indent="0" outline="1" outlineData="1" multipleFieldFilters="0" chartFormat="5" rowHeaderCaption="Gender/ Employment status">
  <location ref="A3:B12" firstHeaderRow="1" firstDataRow="1" firstDataCol="1"/>
  <pivotFields count="16">
    <pivotField showAll="0"/>
    <pivotField showAll="0"/>
    <pivotField showAll="0"/>
    <pivotField numFmtId="2" showAll="0"/>
    <pivotField showAll="0"/>
    <pivotField numFmtId="14" showAll="0"/>
    <pivotField axis="axisRow" showAll="0">
      <items count="3">
        <item x="1"/>
        <item x="0"/>
        <item t="default"/>
      </items>
    </pivotField>
    <pivotField showAll="0"/>
    <pivotField numFmtId="14" showAll="0"/>
    <pivotField showAll="0"/>
    <pivotField showAll="0"/>
    <pivotField axis="axisRow" dataField="1" showAll="0">
      <items count="4">
        <item x="0"/>
        <item x="2"/>
        <item x="1"/>
        <item t="default"/>
      </items>
    </pivotField>
    <pivotField showAll="0">
      <items count="7">
        <item x="3"/>
        <item x="5"/>
        <item x="1"/>
        <item x="0"/>
        <item x="4"/>
        <item x="2"/>
        <item t="default"/>
      </items>
    </pivotField>
    <pivotField showAll="0"/>
    <pivotField showAll="0"/>
    <pivotField showAll="0"/>
  </pivotFields>
  <rowFields count="2">
    <field x="6"/>
    <field x="11"/>
  </rowFields>
  <rowItems count="9">
    <i>
      <x/>
    </i>
    <i r="1">
      <x/>
    </i>
    <i r="1">
      <x v="1"/>
    </i>
    <i r="1">
      <x v="2"/>
    </i>
    <i>
      <x v="1"/>
    </i>
    <i r="1">
      <x/>
    </i>
    <i r="1">
      <x v="1"/>
    </i>
    <i r="1">
      <x v="2"/>
    </i>
    <i t="grand">
      <x/>
    </i>
  </rowItems>
  <colItems count="1">
    <i/>
  </colItems>
  <dataFields count="1">
    <dataField name="Кількість з EmploymentStatus" fld="1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6" count="1" selected="0">
            <x v="0"/>
          </reference>
          <reference field="11" count="1" selected="0">
            <x v="0"/>
          </reference>
        </references>
      </pivotArea>
    </chartFormat>
    <chartFormat chart="0" format="2">
      <pivotArea type="data" outline="0" fieldPosition="0">
        <references count="3">
          <reference field="4294967294" count="1" selected="0">
            <x v="0"/>
          </reference>
          <reference field="6" count="1" selected="0">
            <x v="0"/>
          </reference>
          <reference field="11" count="1" selected="0">
            <x v="2"/>
          </reference>
        </references>
      </pivotArea>
    </chartFormat>
    <chartFormat chart="0" format="3">
      <pivotArea type="data" outline="0" fieldPosition="0">
        <references count="3">
          <reference field="4294967294" count="1" selected="0">
            <x v="0"/>
          </reference>
          <reference field="6" count="1" selected="0">
            <x v="0"/>
          </reference>
          <reference field="11" count="1" selected="0">
            <x v="1"/>
          </reference>
        </references>
      </pivotArea>
    </chartFormat>
    <chartFormat chart="0" format="4">
      <pivotArea type="data" outline="0" fieldPosition="0">
        <references count="3">
          <reference field="4294967294" count="1" selected="0">
            <x v="0"/>
          </reference>
          <reference field="6" count="1" selected="0">
            <x v="1"/>
          </reference>
          <reference field="11" count="1" selected="0">
            <x v="0"/>
          </reference>
        </references>
      </pivotArea>
    </chartFormat>
    <chartFormat chart="0" format="5">
      <pivotArea type="data" outline="0" fieldPosition="0">
        <references count="3">
          <reference field="4294967294" count="1" selected="0">
            <x v="0"/>
          </reference>
          <reference field="6" count="1" selected="0">
            <x v="1"/>
          </reference>
          <reference field="11" count="1" selected="0">
            <x v="1"/>
          </reference>
        </references>
      </pivotArea>
    </chartFormat>
    <chartFormat chart="0" format="6">
      <pivotArea type="data" outline="0" fieldPosition="0">
        <references count="3">
          <reference field="4294967294" count="1" selected="0">
            <x v="0"/>
          </reference>
          <reference field="6" count="1" selected="0">
            <x v="1"/>
          </reference>
          <reference field="11"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3">
          <reference field="4294967294" count="1" selected="0">
            <x v="0"/>
          </reference>
          <reference field="6" count="1" selected="0">
            <x v="0"/>
          </reference>
          <reference field="11" count="1" selected="0">
            <x v="0"/>
          </reference>
        </references>
      </pivotArea>
    </chartFormat>
    <chartFormat chart="4" format="16">
      <pivotArea type="data" outline="0" fieldPosition="0">
        <references count="3">
          <reference field="4294967294" count="1" selected="0">
            <x v="0"/>
          </reference>
          <reference field="6" count="1" selected="0">
            <x v="0"/>
          </reference>
          <reference field="11" count="1" selected="0">
            <x v="1"/>
          </reference>
        </references>
      </pivotArea>
    </chartFormat>
    <chartFormat chart="4" format="17">
      <pivotArea type="data" outline="0" fieldPosition="0">
        <references count="3">
          <reference field="4294967294" count="1" selected="0">
            <x v="0"/>
          </reference>
          <reference field="6" count="1" selected="0">
            <x v="0"/>
          </reference>
          <reference field="11" count="1" selected="0">
            <x v="2"/>
          </reference>
        </references>
      </pivotArea>
    </chartFormat>
    <chartFormat chart="4" format="18">
      <pivotArea type="data" outline="0" fieldPosition="0">
        <references count="3">
          <reference field="4294967294" count="1" selected="0">
            <x v="0"/>
          </reference>
          <reference field="6" count="1" selected="0">
            <x v="1"/>
          </reference>
          <reference field="11" count="1" selected="0">
            <x v="0"/>
          </reference>
        </references>
      </pivotArea>
    </chartFormat>
    <chartFormat chart="4" format="19">
      <pivotArea type="data" outline="0" fieldPosition="0">
        <references count="3">
          <reference field="4294967294" count="1" selected="0">
            <x v="0"/>
          </reference>
          <reference field="6" count="1" selected="0">
            <x v="1"/>
          </reference>
          <reference field="11" count="1" selected="0">
            <x v="1"/>
          </reference>
        </references>
      </pivotArea>
    </chartFormat>
    <chartFormat chart="4" format="20">
      <pivotArea type="data" outline="0" fieldPosition="0">
        <references count="3">
          <reference field="4294967294" count="1" selected="0">
            <x v="0"/>
          </reference>
          <reference field="6"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0F9E0-F6E8-4E42-A55B-30816338B9A3}" name="Зведена таблиця1" cacheId="0" applyNumberFormats="0" applyBorderFormats="0" applyFontFormats="0" applyPatternFormats="0" applyAlignmentFormats="0" applyWidthHeightFormats="1" dataCaption="Значення" updatedVersion="8" minRefreshableVersion="3" useAutoFormatting="1" itemPrintTitles="1" createdVersion="8" indent="0" outline="1" outlineData="1" multipleFieldFilters="0" chartFormat="7" rowHeaderCaption="Employment Status">
  <location ref="A3:B7" firstHeaderRow="1" firstDataRow="1" firstDataCol="1"/>
  <pivotFields count="16">
    <pivotField showAll="0"/>
    <pivotField showAll="0"/>
    <pivotField showAll="0"/>
    <pivotField numFmtId="2" showAll="0"/>
    <pivotField showAll="0"/>
    <pivotField numFmtId="14" showAll="0"/>
    <pivotField showAll="0">
      <items count="3">
        <item x="1"/>
        <item x="0"/>
        <item t="default"/>
      </items>
    </pivotField>
    <pivotField showAll="0"/>
    <pivotField numFmtId="14" showAll="0"/>
    <pivotField showAll="0"/>
    <pivotField showAll="0"/>
    <pivotField axis="axisRow" showAll="0">
      <items count="4">
        <item x="0"/>
        <item x="2"/>
        <item x="1"/>
        <item t="default"/>
      </items>
    </pivotField>
    <pivotField showAll="0">
      <items count="7">
        <item x="3"/>
        <item x="5"/>
        <item x="1"/>
        <item x="0"/>
        <item x="4"/>
        <item x="2"/>
        <item t="default"/>
      </items>
    </pivotField>
    <pivotField showAll="0"/>
    <pivotField showAll="0"/>
    <pivotField dataField="1" showAll="0"/>
  </pivotFields>
  <rowFields count="1">
    <field x="11"/>
  </rowFields>
  <rowItems count="4">
    <i>
      <x/>
    </i>
    <i>
      <x v="1"/>
    </i>
    <i>
      <x v="2"/>
    </i>
    <i t="grand">
      <x/>
    </i>
  </rowItems>
  <colItems count="1">
    <i/>
  </colItems>
  <dataFields count="1">
    <dataField name="Середнє з Experience" fld="15" subtotal="average" baseField="11"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8E153-E906-4623-A1B0-AE62734F806F}" name="Зведена таблиця1" cacheId="0" applyNumberFormats="0" applyBorderFormats="0" applyFontFormats="0" applyPatternFormats="0" applyAlignmentFormats="0" applyWidthHeightFormats="1" dataCaption="Значення" updatedVersion="8" minRefreshableVersion="3" useAutoFormatting="1" itemPrintTitles="1" createdVersion="8" indent="0" outline="1" outlineData="1" multipleFieldFilters="0" chartFormat="9" rowHeaderCaption="Gender">
  <location ref="A3:B6" firstHeaderRow="1" firstDataRow="1" firstDataCol="1"/>
  <pivotFields count="16">
    <pivotField showAll="0"/>
    <pivotField showAll="0"/>
    <pivotField showAll="0"/>
    <pivotField dataField="1" numFmtId="2" showAll="0"/>
    <pivotField showAll="0"/>
    <pivotField numFmtId="14" showAll="0"/>
    <pivotField axis="axisRow" showAll="0">
      <items count="3">
        <item x="1"/>
        <item x="0"/>
        <item t="default"/>
      </items>
    </pivotField>
    <pivotField showAll="0"/>
    <pivotField numFmtId="14" showAll="0"/>
    <pivotField showAll="0"/>
    <pivotField showAll="0"/>
    <pivotField showAll="0"/>
    <pivotField showAll="0">
      <items count="7">
        <item x="3"/>
        <item x="5"/>
        <item x="1"/>
        <item x="0"/>
        <item x="4"/>
        <item x="2"/>
        <item t="default"/>
      </items>
    </pivotField>
    <pivotField showAll="0"/>
    <pivotField showAll="0"/>
    <pivotField showAll="0"/>
  </pivotFields>
  <rowFields count="1">
    <field x="6"/>
  </rowFields>
  <rowItems count="3">
    <i>
      <x/>
    </i>
    <i>
      <x v="1"/>
    </i>
    <i t="grand">
      <x/>
    </i>
  </rowItems>
  <colItems count="1">
    <i/>
  </colItems>
  <dataFields count="1">
    <dataField name="Середнє з Salary" fld="3" subtotal="average" baseField="6" baseItem="0" numFmtId="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850A3-F1B9-473B-B145-9F934099C91C}" name="Зведена таблиця1" cacheId="0" applyNumberFormats="0" applyBorderFormats="0" applyFontFormats="0" applyPatternFormats="0" applyAlignmentFormats="0" applyWidthHeightFormats="1" dataCaption="Значення" updatedVersion="8" minRefreshableVersion="3" useAutoFormatting="1" itemPrintTitles="1" createdVersion="8" indent="0" outline="1" outlineData="1" multipleFieldFilters="0" chartFormat="8" rowHeaderCaption="Department">
  <location ref="A3:C10" firstHeaderRow="0" firstDataRow="1" firstDataCol="1"/>
  <pivotFields count="16">
    <pivotField showAll="0"/>
    <pivotField showAll="0"/>
    <pivotField showAll="0"/>
    <pivotField dataField="1" numFmtId="2" showAll="0"/>
    <pivotField dataField="1" showAll="0">
      <items count="32">
        <item x="10"/>
        <item x="22"/>
        <item x="11"/>
        <item x="17"/>
        <item x="13"/>
        <item x="30"/>
        <item x="5"/>
        <item x="28"/>
        <item x="6"/>
        <item x="14"/>
        <item x="21"/>
        <item x="7"/>
        <item x="20"/>
        <item x="29"/>
        <item x="26"/>
        <item x="18"/>
        <item x="4"/>
        <item x="19"/>
        <item x="23"/>
        <item x="27"/>
        <item x="9"/>
        <item x="0"/>
        <item x="2"/>
        <item x="16"/>
        <item x="24"/>
        <item x="25"/>
        <item x="3"/>
        <item x="12"/>
        <item x="8"/>
        <item x="1"/>
        <item x="15"/>
        <item t="default"/>
      </items>
    </pivotField>
    <pivotField numFmtId="14" showAll="0"/>
    <pivotField showAll="0">
      <items count="3">
        <item x="1"/>
        <item x="0"/>
        <item t="default"/>
      </items>
    </pivotField>
    <pivotField showAll="0"/>
    <pivotField numFmtId="14" showAll="0"/>
    <pivotField showAll="0"/>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7">
    <i>
      <x v="1"/>
    </i>
    <i>
      <x v="2"/>
    </i>
    <i>
      <x v="5"/>
    </i>
    <i>
      <x/>
    </i>
    <i>
      <x v="4"/>
    </i>
    <i>
      <x v="3"/>
    </i>
    <i t="grand">
      <x/>
    </i>
  </rowItems>
  <colFields count="1">
    <field x="-2"/>
  </colFields>
  <colItems count="2">
    <i>
      <x/>
    </i>
    <i i="1">
      <x v="1"/>
    </i>
  </colItems>
  <dataFields count="2">
    <dataField name="Середнє з Salary" fld="3" subtotal="average" baseField="12" baseItem="0" numFmtId="1"/>
    <dataField name="Кількість з Position" fld="4"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482986-69AC-4AC3-8402-8DB7E8972187}" name="Зведена таблиця1" cacheId="1" applyNumberFormats="0" applyBorderFormats="0" applyFontFormats="0" applyPatternFormats="0" applyAlignmentFormats="0" applyWidthHeightFormats="1" dataCaption="Значення" updatedVersion="8" minRefreshableVersion="3" useAutoFormatting="1" itemPrintTitles="1" createdVersion="8" indent="0" outline="1" outlineData="1" multipleFieldFilters="0" chartFormat="7" rowHeaderCaption="Age">
  <location ref="A3:B42" firstHeaderRow="1" firstDataRow="1" firstDataCol="1"/>
  <pivotFields count="16">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1">
        <item x="32"/>
        <item x="29"/>
        <item x="13"/>
        <item x="3"/>
        <item x="2"/>
        <item x="16"/>
        <item x="10"/>
        <item x="22"/>
        <item x="33"/>
        <item x="0"/>
        <item x="27"/>
        <item x="8"/>
        <item x="18"/>
        <item x="5"/>
        <item h="1" x="38"/>
        <item x="23"/>
        <item x="4"/>
        <item x="24"/>
        <item x="1"/>
        <item x="7"/>
        <item x="28"/>
        <item x="21"/>
        <item x="11"/>
        <item x="6"/>
        <item x="17"/>
        <item x="31"/>
        <item x="14"/>
        <item x="9"/>
        <item x="25"/>
        <item x="15"/>
        <item x="19"/>
        <item x="35"/>
        <item x="12"/>
        <item x="37"/>
        <item x="30"/>
        <item x="34"/>
        <item x="36"/>
        <item x="26"/>
        <item x="20"/>
        <item h="1" x="39"/>
        <item t="default"/>
      </items>
    </pivotField>
    <pivotField showAll="0"/>
  </pivotFields>
  <rowFields count="1">
    <field x="14"/>
  </rowFields>
  <rowItems count="39">
    <i>
      <x/>
    </i>
    <i>
      <x v="1"/>
    </i>
    <i>
      <x v="2"/>
    </i>
    <i>
      <x v="3"/>
    </i>
    <i>
      <x v="4"/>
    </i>
    <i>
      <x v="5"/>
    </i>
    <i>
      <x v="6"/>
    </i>
    <i>
      <x v="7"/>
    </i>
    <i>
      <x v="8"/>
    </i>
    <i>
      <x v="9"/>
    </i>
    <i>
      <x v="10"/>
    </i>
    <i>
      <x v="11"/>
    </i>
    <i>
      <x v="12"/>
    </i>
    <i>
      <x v="13"/>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Середнє з Salary" fld="3" subtotal="average" baseField="14"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D7127C-9B11-40DA-81BF-712D6B284100}" name="Зведена таблиця2" cacheId="1" applyNumberFormats="0" applyBorderFormats="0" applyFontFormats="0" applyPatternFormats="0" applyAlignmentFormats="0" applyWidthHeightFormats="1" dataCaption="Значення" updatedVersion="8" minRefreshableVersion="3" useAutoFormatting="1" itemPrintTitles="1" createdVersion="8" indent="0" outline="1" outlineData="1" multipleFieldFilters="0" chartFormat="3" rowHeaderCaption="Experience">
  <location ref="A3:B24" firstHeaderRow="1" firstDataRow="1" firstDataCol="1"/>
  <pivotFields count="16">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14"/>
        <item x="1"/>
        <item x="13"/>
        <item x="12"/>
        <item x="10"/>
        <item x="3"/>
        <item x="9"/>
        <item x="16"/>
        <item x="17"/>
        <item h="1" x="20"/>
        <item x="11"/>
        <item x="8"/>
        <item x="5"/>
        <item x="6"/>
        <item x="4"/>
        <item x="0"/>
        <item x="15"/>
        <item x="7"/>
        <item x="2"/>
        <item x="18"/>
        <item x="19"/>
        <item h="1" x="21"/>
        <item t="default"/>
      </items>
    </pivotField>
  </pivotFields>
  <rowFields count="1">
    <field x="15"/>
  </rowFields>
  <rowItems count="21">
    <i>
      <x/>
    </i>
    <i>
      <x v="1"/>
    </i>
    <i>
      <x v="2"/>
    </i>
    <i>
      <x v="3"/>
    </i>
    <i>
      <x v="4"/>
    </i>
    <i>
      <x v="5"/>
    </i>
    <i>
      <x v="6"/>
    </i>
    <i>
      <x v="7"/>
    </i>
    <i>
      <x v="8"/>
    </i>
    <i>
      <x v="10"/>
    </i>
    <i>
      <x v="11"/>
    </i>
    <i>
      <x v="12"/>
    </i>
    <i>
      <x v="13"/>
    </i>
    <i>
      <x v="14"/>
    </i>
    <i>
      <x v="15"/>
    </i>
    <i>
      <x v="16"/>
    </i>
    <i>
      <x v="17"/>
    </i>
    <i>
      <x v="18"/>
    </i>
    <i>
      <x v="19"/>
    </i>
    <i>
      <x v="20"/>
    </i>
    <i t="grand">
      <x/>
    </i>
  </rowItems>
  <colItems count="1">
    <i/>
  </colItems>
  <dataFields count="1">
    <dataField name="Середнє з Salary" fld="3" subtotal="average" baseField="15"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8B7420-0CF7-4AE2-B5C1-F9E5B62D966B}" autoFormatId="16" applyNumberFormats="0" applyBorderFormats="0" applyFontFormats="0" applyPatternFormats="0" applyAlignmentFormats="0" applyWidthHeightFormats="0">
  <queryTableRefresh nextId="18" unboundColumnsRight="2">
    <queryTableFields count="16">
      <queryTableField id="1" name="Employee_Name" tableColumnId="1"/>
      <queryTableField id="2" name="EmpID" tableColumnId="2"/>
      <queryTableField id="3" name="GenderID" tableColumnId="3"/>
      <queryTableField id="4" name="Salary" tableColumnId="4"/>
      <queryTableField id="5" name="Position" tableColumnId="5"/>
      <queryTableField id="6" name="DOB" tableColumnId="6"/>
      <queryTableField id="7" name="Sex" tableColumnId="7"/>
      <queryTableField id="8" name="CitizenDesc" tableColumnId="8"/>
      <queryTableField id="9" name="DateofHire" tableColumnId="9"/>
      <queryTableField id="10" name="DateofTermination" tableColumnId="10"/>
      <queryTableField id="11" name="TermReason" tableColumnId="11"/>
      <queryTableField id="12" name="EmploymentStatus" tableColumnId="12"/>
      <queryTableField id="13" name="Department" tableColumnId="13"/>
      <queryTableField id="14" name="ManagerName"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Роздільник_Department" xr10:uid="{FD0E2749-2370-471D-91C8-824A3697F75B}" sourceName="Department">
  <pivotTables>
    <pivotTable tabId="5" name="Зведена таблиця1"/>
    <pivotTable tabId="9" name="Зведена таблиця1"/>
    <pivotTable tabId="8" name="Зведена таблиця1"/>
    <pivotTable tabId="7" name="Зведена таблиця1"/>
    <pivotTable tabId="6" name="Зведена таблиця1"/>
  </pivotTables>
  <data>
    <tabular pivotCacheId="2104290509">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Роздільник_Sex" xr10:uid="{AD9A047C-B616-4D40-96A0-224DAE349CEA}" sourceName="Sex">
  <pivotTables>
    <pivotTable tabId="8" name="Зведена таблиця1"/>
    <pivotTable tabId="9" name="Зведена таблиця1"/>
    <pivotTable tabId="5" name="Зведена таблиця1"/>
    <pivotTable tabId="7" name="Зведена таблиця1"/>
    <pivotTable tabId="6" name="Зведена таблиця1"/>
  </pivotTables>
  <data>
    <tabular pivotCacheId="210429050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2381673-D978-458C-916F-232588F5F0D0}" cache="Роздільник_Department" caption="Department" columnCount="3" rowHeight="251883"/>
  <slicer name="Sex" xr10:uid="{0A01E643-4872-45EB-B6DC-7E387C878CF3}" cache="Роздільник_Sex" caption="Gende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CCABDF-7E51-42A4-BAF7-A2DF0D4A54BF}" name="HRDataset_clean" displayName="HRDataset_clean" ref="A1:P313" tableType="queryTable" totalsRowCount="1" totalsRowDxfId="31">
  <autoFilter ref="A1:P312" xr:uid="{6DCCABDF-7E51-42A4-BAF7-A2DF0D4A54BF}"/>
  <tableColumns count="16">
    <tableColumn id="1" xr3:uid="{462F1512-129C-4F18-8C84-CD8C5BB364A2}" uniqueName="1" name="Employee_Name" totalsRowLabel="Підсумок" queryTableFieldId="1" dataDxfId="30" totalsRowDxfId="29"/>
    <tableColumn id="2" xr3:uid="{BEAB6FB1-D5C7-42F5-9F26-A9B447C44D34}" uniqueName="2" name="EmpID" queryTableFieldId="2" totalsRowDxfId="28"/>
    <tableColumn id="3" xr3:uid="{397CF102-4293-4481-BFAE-0B3D2B348160}" uniqueName="3" name="GenderID" queryTableFieldId="3" totalsRowDxfId="27"/>
    <tableColumn id="4" xr3:uid="{38A122EA-0347-4570-BF5B-4FA57F6BA9C5}" uniqueName="4" name="Salary" totalsRowFunction="average" queryTableFieldId="4" dataDxfId="26" totalsRowDxfId="25"/>
    <tableColumn id="5" xr3:uid="{92A7FDDB-7044-4095-B7E6-661E59EB5D74}" uniqueName="5" name="Position" queryTableFieldId="5" dataDxfId="24" totalsRowDxfId="23"/>
    <tableColumn id="6" xr3:uid="{C60E0FEE-1DFA-45E8-800A-2CC6600AF4F2}" uniqueName="6" name="DOB" queryTableFieldId="6" dataDxfId="22" totalsRowDxfId="21"/>
    <tableColumn id="7" xr3:uid="{CD8449F9-309B-45A3-A14A-C2429E7EA4C7}" uniqueName="7" name="Sex" queryTableFieldId="7" dataDxfId="20" totalsRowDxfId="19"/>
    <tableColumn id="8" xr3:uid="{1B446900-7DD4-4FC8-8495-8B92E69A854B}" uniqueName="8" name="CitizenDesc" queryTableFieldId="8" dataDxfId="18" totalsRowDxfId="17"/>
    <tableColumn id="9" xr3:uid="{294582B3-6CE5-4308-9124-823642574DEE}" uniqueName="9" name="DateofHire" queryTableFieldId="9" dataDxfId="16" totalsRowDxfId="15"/>
    <tableColumn id="10" xr3:uid="{9AD61435-7995-48F1-98A2-AE58EDB1CEEC}" uniqueName="10" name="DateofTermination" queryTableFieldId="10" dataDxfId="14" totalsRowDxfId="13"/>
    <tableColumn id="11" xr3:uid="{79D2E0D1-8707-4E8D-828D-34F246FEBE73}" uniqueName="11" name="TermReason" queryTableFieldId="11" dataDxfId="12" totalsRowDxfId="11"/>
    <tableColumn id="12" xr3:uid="{8E5FE07E-3A76-423C-9ED8-5EF75465016F}" uniqueName="12" name="EmploymentStatus" totalsRowFunction="count" queryTableFieldId="12" dataDxfId="10" totalsRowDxfId="9"/>
    <tableColumn id="13" xr3:uid="{14F95057-44E0-4669-9378-93872DCEB711}" uniqueName="13" name="Department" queryTableFieldId="13" dataDxfId="8" totalsRowDxfId="7"/>
    <tableColumn id="14" xr3:uid="{2D3C1819-424E-4E1C-BA32-2F3FEC5CE7D7}" uniqueName="14" name="ManagerName" totalsRowFunction="count" queryTableFieldId="14" dataDxfId="6" totalsRowDxfId="5"/>
    <tableColumn id="15" xr3:uid="{41A5A662-2EBA-4F0B-A187-319218E766C8}" uniqueName="15" name="Age" totalsRowFunction="average" queryTableFieldId="15" dataDxfId="4" totalsRowDxfId="3">
      <calculatedColumnFormula>DATEDIF(HRDataset_clean[[#This Row],[DOB]], TODAY(), "Y")</calculatedColumnFormula>
    </tableColumn>
    <tableColumn id="16" xr3:uid="{4DB63E1C-C3BC-4899-8FC0-92DDE29B5436}" uniqueName="16" name="Experience" totalsRowFunction="average" queryTableFieldId="16" dataDxfId="2" totalsRowDxfId="1">
      <calculatedColumnFormula>DATEDIF(HRDataset_clean[[#This Row],[DateofHire]], IF(HRDataset_clean[[#This Row],[DateofTermination]]="", TODAY(),HRDataset_clean[[#This Row],[DateofTermination]]),"Y")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559EB-86BB-4A88-A54E-7C69E9991147}">
  <dimension ref="A1:A312"/>
  <sheetViews>
    <sheetView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A37C-F375-4CF6-8684-0AFF9BDC5A1D}">
  <dimension ref="A1:P313"/>
  <sheetViews>
    <sheetView topLeftCell="F296" workbookViewId="0">
      <selection activeCell="C312" sqref="C312"/>
    </sheetView>
  </sheetViews>
  <sheetFormatPr defaultRowHeight="14.5" x14ac:dyDescent="0.35"/>
  <cols>
    <col min="1" max="1" width="21.1796875" bestFit="1" customWidth="1"/>
    <col min="2" max="2" width="8.6328125" bestFit="1" customWidth="1"/>
    <col min="3" max="3" width="11" bestFit="1" customWidth="1"/>
    <col min="4" max="4" width="12.453125" style="2" customWidth="1"/>
    <col min="5" max="5" width="25.36328125" style="3" bestFit="1" customWidth="1"/>
    <col min="6" max="6" width="11.7265625" customWidth="1"/>
    <col min="7" max="7" width="6.08984375" bestFit="1" customWidth="1"/>
    <col min="8" max="8" width="15.90625" bestFit="1" customWidth="1"/>
    <col min="9" max="9" width="12.08984375" bestFit="1" customWidth="1"/>
    <col min="10" max="10" width="18.81640625" bestFit="1" customWidth="1"/>
    <col min="11" max="11" width="25.6328125" bestFit="1" customWidth="1"/>
    <col min="12" max="12" width="19.08984375" bestFit="1" customWidth="1"/>
    <col min="13" max="13" width="17.81640625" bestFit="1" customWidth="1"/>
    <col min="14" max="14" width="16.453125" bestFit="1" customWidth="1"/>
    <col min="16" max="16" width="12.453125" customWidth="1"/>
  </cols>
  <sheetData>
    <row r="1" spans="1:16" x14ac:dyDescent="0.35">
      <c r="A1" t="s">
        <v>312</v>
      </c>
      <c r="B1" t="s">
        <v>313</v>
      </c>
      <c r="C1" t="s">
        <v>314</v>
      </c>
      <c r="D1" s="2" t="s">
        <v>315</v>
      </c>
      <c r="E1" s="3" t="s">
        <v>316</v>
      </c>
      <c r="F1" t="s">
        <v>317</v>
      </c>
      <c r="G1" t="s">
        <v>318</v>
      </c>
      <c r="H1" t="s">
        <v>319</v>
      </c>
      <c r="I1" t="s">
        <v>320</v>
      </c>
      <c r="J1" t="s">
        <v>321</v>
      </c>
      <c r="K1" t="s">
        <v>322</v>
      </c>
      <c r="L1" t="s">
        <v>323</v>
      </c>
      <c r="M1" t="s">
        <v>324</v>
      </c>
      <c r="N1" t="s">
        <v>325</v>
      </c>
      <c r="O1" t="s">
        <v>722</v>
      </c>
      <c r="P1" t="s">
        <v>723</v>
      </c>
    </row>
    <row r="2" spans="1:16" x14ac:dyDescent="0.35">
      <c r="A2" t="s">
        <v>326</v>
      </c>
      <c r="B2">
        <v>10026</v>
      </c>
      <c r="C2">
        <v>1</v>
      </c>
      <c r="D2" s="2">
        <v>62506</v>
      </c>
      <c r="E2" s="3" t="s">
        <v>327</v>
      </c>
      <c r="F2" s="1">
        <v>30507</v>
      </c>
      <c r="G2" t="s">
        <v>328</v>
      </c>
      <c r="H2" t="s">
        <v>329</v>
      </c>
      <c r="I2" s="1">
        <v>40729</v>
      </c>
      <c r="K2" t="s">
        <v>330</v>
      </c>
      <c r="L2" t="s">
        <v>331</v>
      </c>
      <c r="M2" t="s">
        <v>332</v>
      </c>
      <c r="N2" t="s">
        <v>333</v>
      </c>
      <c r="O2">
        <f ca="1">DATEDIF(HRDataset_clean[[#This Row],[DOB]], TODAY(), "Y")</f>
        <v>42</v>
      </c>
      <c r="P2">
        <f ca="1">DATEDIF(HRDataset_clean[[#This Row],[DateofHire]], IF(HRDataset_clean[[#This Row],[DateofTermination]]="", TODAY(),HRDataset_clean[[#This Row],[DateofTermination]]),"Y")</f>
        <v>14</v>
      </c>
    </row>
    <row r="3" spans="1:16" x14ac:dyDescent="0.35">
      <c r="A3" t="s">
        <v>334</v>
      </c>
      <c r="B3">
        <v>10084</v>
      </c>
      <c r="C3">
        <v>1</v>
      </c>
      <c r="D3" s="2">
        <v>104437</v>
      </c>
      <c r="E3" s="3" t="s">
        <v>335</v>
      </c>
      <c r="F3" s="1">
        <v>27519</v>
      </c>
      <c r="G3" t="s">
        <v>328</v>
      </c>
      <c r="H3" t="s">
        <v>329</v>
      </c>
      <c r="I3" s="1">
        <v>42093</v>
      </c>
      <c r="J3" s="1">
        <v>42537</v>
      </c>
      <c r="K3" t="s">
        <v>336</v>
      </c>
      <c r="L3" t="s">
        <v>337</v>
      </c>
      <c r="M3" t="s">
        <v>338</v>
      </c>
      <c r="N3" t="s">
        <v>339</v>
      </c>
      <c r="O3">
        <f ca="1">DATEDIF(HRDataset_clean[[#This Row],[DOB]], TODAY(), "Y")</f>
        <v>50</v>
      </c>
      <c r="P3">
        <f ca="1">DATEDIF(HRDataset_clean[[#This Row],[DateofHire]], IF(HRDataset_clean[[#This Row],[DateofTermination]]="", TODAY(),HRDataset_clean[[#This Row],[DateofTermination]]),"Y")</f>
        <v>1</v>
      </c>
    </row>
    <row r="4" spans="1:16" x14ac:dyDescent="0.35">
      <c r="A4" t="s">
        <v>340</v>
      </c>
      <c r="B4">
        <v>10196</v>
      </c>
      <c r="C4">
        <v>0</v>
      </c>
      <c r="D4" s="2">
        <v>64955</v>
      </c>
      <c r="E4" s="3" t="s">
        <v>341</v>
      </c>
      <c r="F4" s="1">
        <v>32405</v>
      </c>
      <c r="G4" t="s">
        <v>342</v>
      </c>
      <c r="H4" t="s">
        <v>329</v>
      </c>
      <c r="I4" s="1">
        <v>40729</v>
      </c>
      <c r="J4" s="1">
        <v>41176</v>
      </c>
      <c r="K4" t="s">
        <v>343</v>
      </c>
      <c r="L4" t="s">
        <v>337</v>
      </c>
      <c r="M4" t="s">
        <v>332</v>
      </c>
      <c r="N4" t="s">
        <v>344</v>
      </c>
      <c r="O4">
        <f ca="1">DATEDIF(HRDataset_clean[[#This Row],[DOB]], TODAY(), "Y")</f>
        <v>37</v>
      </c>
      <c r="P4">
        <f ca="1">DATEDIF(HRDataset_clean[[#This Row],[DateofHire]], IF(HRDataset_clean[[#This Row],[DateofTermination]]="", TODAY(),HRDataset_clean[[#This Row],[DateofTermination]]),"Y")</f>
        <v>1</v>
      </c>
    </row>
    <row r="5" spans="1:16" x14ac:dyDescent="0.35">
      <c r="A5" t="s">
        <v>345</v>
      </c>
      <c r="B5">
        <v>10088</v>
      </c>
      <c r="C5">
        <v>0</v>
      </c>
      <c r="D5" s="2">
        <v>64991</v>
      </c>
      <c r="E5" s="3" t="s">
        <v>327</v>
      </c>
      <c r="F5" s="1">
        <v>32413</v>
      </c>
      <c r="G5" t="s">
        <v>342</v>
      </c>
      <c r="H5" t="s">
        <v>329</v>
      </c>
      <c r="I5" s="1">
        <v>39454</v>
      </c>
      <c r="K5" t="s">
        <v>330</v>
      </c>
      <c r="L5" t="s">
        <v>331</v>
      </c>
      <c r="M5" t="s">
        <v>332</v>
      </c>
      <c r="N5" t="s">
        <v>346</v>
      </c>
      <c r="O5">
        <f ca="1">DATEDIF(HRDataset_clean[[#This Row],[DOB]], TODAY(), "Y")</f>
        <v>37</v>
      </c>
      <c r="P5">
        <f ca="1">DATEDIF(HRDataset_clean[[#This Row],[DateofHire]], IF(HRDataset_clean[[#This Row],[DateofTermination]]="", TODAY(),HRDataset_clean[[#This Row],[DateofTermination]]),"Y")</f>
        <v>17</v>
      </c>
    </row>
    <row r="6" spans="1:16" x14ac:dyDescent="0.35">
      <c r="A6" t="s">
        <v>347</v>
      </c>
      <c r="B6">
        <v>10069</v>
      </c>
      <c r="C6">
        <v>0</v>
      </c>
      <c r="D6" s="2">
        <v>50825</v>
      </c>
      <c r="E6" s="3" t="s">
        <v>327</v>
      </c>
      <c r="F6" s="1">
        <v>32759</v>
      </c>
      <c r="G6" t="s">
        <v>342</v>
      </c>
      <c r="H6" t="s">
        <v>329</v>
      </c>
      <c r="I6" s="1">
        <v>40735</v>
      </c>
      <c r="J6" s="1">
        <v>42619</v>
      </c>
      <c r="K6" t="s">
        <v>348</v>
      </c>
      <c r="L6" t="s">
        <v>337</v>
      </c>
      <c r="M6" t="s">
        <v>332</v>
      </c>
      <c r="N6" t="s">
        <v>349</v>
      </c>
      <c r="O6">
        <f ca="1">DATEDIF(HRDataset_clean[[#This Row],[DOB]], TODAY(), "Y")</f>
        <v>36</v>
      </c>
      <c r="P6">
        <f ca="1">DATEDIF(HRDataset_clean[[#This Row],[DateofHire]], IF(HRDataset_clean[[#This Row],[DateofTermination]]="", TODAY(),HRDataset_clean[[#This Row],[DateofTermination]]),"Y")</f>
        <v>5</v>
      </c>
    </row>
    <row r="7" spans="1:16" x14ac:dyDescent="0.35">
      <c r="A7" t="s">
        <v>350</v>
      </c>
      <c r="B7">
        <v>10002</v>
      </c>
      <c r="C7">
        <v>0</v>
      </c>
      <c r="D7" s="2">
        <v>57568</v>
      </c>
      <c r="E7" s="3" t="s">
        <v>327</v>
      </c>
      <c r="F7" s="1">
        <v>28267</v>
      </c>
      <c r="G7" t="s">
        <v>342</v>
      </c>
      <c r="H7" t="s">
        <v>329</v>
      </c>
      <c r="I7" s="1">
        <v>40917</v>
      </c>
      <c r="K7" t="s">
        <v>330</v>
      </c>
      <c r="L7" t="s">
        <v>331</v>
      </c>
      <c r="M7" t="s">
        <v>332</v>
      </c>
      <c r="N7" t="s">
        <v>351</v>
      </c>
      <c r="O7">
        <f ca="1">DATEDIF(HRDataset_clean[[#This Row],[DOB]], TODAY(), "Y")</f>
        <v>48</v>
      </c>
      <c r="P7">
        <f ca="1">DATEDIF(HRDataset_clean[[#This Row],[DateofHire]], IF(HRDataset_clean[[#This Row],[DateofTermination]]="", TODAY(),HRDataset_clean[[#This Row],[DateofTermination]]),"Y")</f>
        <v>13</v>
      </c>
    </row>
    <row r="8" spans="1:16" x14ac:dyDescent="0.35">
      <c r="A8" t="s">
        <v>352</v>
      </c>
      <c r="B8">
        <v>10194</v>
      </c>
      <c r="C8">
        <v>0</v>
      </c>
      <c r="D8" s="2">
        <v>95660</v>
      </c>
      <c r="E8" s="3" t="s">
        <v>353</v>
      </c>
      <c r="F8" s="1">
        <v>28999</v>
      </c>
      <c r="G8" t="s">
        <v>342</v>
      </c>
      <c r="H8" t="s">
        <v>329</v>
      </c>
      <c r="I8" s="1">
        <v>41953</v>
      </c>
      <c r="K8" t="s">
        <v>330</v>
      </c>
      <c r="L8" t="s">
        <v>331</v>
      </c>
      <c r="M8" t="s">
        <v>354</v>
      </c>
      <c r="N8" t="s">
        <v>355</v>
      </c>
      <c r="O8">
        <f ca="1">DATEDIF(HRDataset_clean[[#This Row],[DOB]], TODAY(), "Y")</f>
        <v>46</v>
      </c>
      <c r="P8">
        <f ca="1">DATEDIF(HRDataset_clean[[#This Row],[DateofHire]], IF(HRDataset_clean[[#This Row],[DateofTermination]]="", TODAY(),HRDataset_clean[[#This Row],[DateofTermination]]),"Y")</f>
        <v>11</v>
      </c>
    </row>
    <row r="9" spans="1:16" x14ac:dyDescent="0.35">
      <c r="A9" t="s">
        <v>356</v>
      </c>
      <c r="B9">
        <v>10062</v>
      </c>
      <c r="C9">
        <v>1</v>
      </c>
      <c r="D9" s="2">
        <v>59365</v>
      </c>
      <c r="E9" s="3" t="s">
        <v>327</v>
      </c>
      <c r="F9" s="1">
        <v>30365</v>
      </c>
      <c r="G9" t="s">
        <v>328</v>
      </c>
      <c r="H9" t="s">
        <v>329</v>
      </c>
      <c r="I9" s="1">
        <v>41547</v>
      </c>
      <c r="K9" t="s">
        <v>330</v>
      </c>
      <c r="L9" t="s">
        <v>331</v>
      </c>
      <c r="M9" t="s">
        <v>332</v>
      </c>
      <c r="N9" t="s">
        <v>357</v>
      </c>
      <c r="O9">
        <f ca="1">DATEDIF(HRDataset_clean[[#This Row],[DOB]], TODAY(), "Y")</f>
        <v>42</v>
      </c>
      <c r="P9">
        <f ca="1">DATEDIF(HRDataset_clean[[#This Row],[DateofHire]], IF(HRDataset_clean[[#This Row],[DateofTermination]]="", TODAY(),HRDataset_clean[[#This Row],[DateofTermination]]),"Y")</f>
        <v>12</v>
      </c>
    </row>
    <row r="10" spans="1:16" x14ac:dyDescent="0.35">
      <c r="A10" t="s">
        <v>358</v>
      </c>
      <c r="B10">
        <v>10114</v>
      </c>
      <c r="C10">
        <v>0</v>
      </c>
      <c r="D10" s="2">
        <v>47837</v>
      </c>
      <c r="E10" s="3" t="s">
        <v>327</v>
      </c>
      <c r="F10" s="1">
        <v>25610</v>
      </c>
      <c r="G10" t="s">
        <v>342</v>
      </c>
      <c r="H10" t="s">
        <v>329</v>
      </c>
      <c r="I10" s="1">
        <v>40000</v>
      </c>
      <c r="K10" t="s">
        <v>330</v>
      </c>
      <c r="L10" t="s">
        <v>331</v>
      </c>
      <c r="M10" t="s">
        <v>332</v>
      </c>
      <c r="N10" t="s">
        <v>359</v>
      </c>
      <c r="O10">
        <f ca="1">DATEDIF(HRDataset_clean[[#This Row],[DOB]], TODAY(), "Y")</f>
        <v>55</v>
      </c>
      <c r="P10">
        <f ca="1">DATEDIF(HRDataset_clean[[#This Row],[DateofHire]], IF(HRDataset_clean[[#This Row],[DateofTermination]]="", TODAY(),HRDataset_clean[[#This Row],[DateofTermination]]),"Y")</f>
        <v>16</v>
      </c>
    </row>
    <row r="11" spans="1:16" x14ac:dyDescent="0.35">
      <c r="A11" t="s">
        <v>360</v>
      </c>
      <c r="B11">
        <v>10250</v>
      </c>
      <c r="C11">
        <v>1</v>
      </c>
      <c r="D11" s="2">
        <v>50178</v>
      </c>
      <c r="E11" s="3" t="s">
        <v>361</v>
      </c>
      <c r="F11" s="1">
        <v>32149</v>
      </c>
      <c r="G11" t="s">
        <v>328</v>
      </c>
      <c r="H11" t="s">
        <v>329</v>
      </c>
      <c r="I11" s="1">
        <v>42009</v>
      </c>
      <c r="K11" t="s">
        <v>330</v>
      </c>
      <c r="L11" t="s">
        <v>331</v>
      </c>
      <c r="M11" t="s">
        <v>338</v>
      </c>
      <c r="N11" t="s">
        <v>362</v>
      </c>
      <c r="O11">
        <f ca="1">DATEDIF(HRDataset_clean[[#This Row],[DOB]], TODAY(), "Y")</f>
        <v>37</v>
      </c>
      <c r="P11">
        <f ca="1">DATEDIF(HRDataset_clean[[#This Row],[DateofHire]], IF(HRDataset_clean[[#This Row],[DateofTermination]]="", TODAY(),HRDataset_clean[[#This Row],[DateofTermination]]),"Y")</f>
        <v>10</v>
      </c>
    </row>
    <row r="12" spans="1:16" x14ac:dyDescent="0.35">
      <c r="A12" t="s">
        <v>363</v>
      </c>
      <c r="B12">
        <v>10252</v>
      </c>
      <c r="C12">
        <v>0</v>
      </c>
      <c r="D12" s="2">
        <v>54670</v>
      </c>
      <c r="E12" s="3" t="s">
        <v>327</v>
      </c>
      <c r="F12" s="1">
        <v>27041</v>
      </c>
      <c r="G12" t="s">
        <v>342</v>
      </c>
      <c r="H12" t="s">
        <v>329</v>
      </c>
      <c r="I12" s="1">
        <v>40553</v>
      </c>
      <c r="J12" s="1">
        <v>42747</v>
      </c>
      <c r="K12" t="s">
        <v>364</v>
      </c>
      <c r="L12" t="s">
        <v>337</v>
      </c>
      <c r="M12" t="s">
        <v>332</v>
      </c>
      <c r="N12" t="s">
        <v>365</v>
      </c>
      <c r="O12">
        <f ca="1">DATEDIF(HRDataset_clean[[#This Row],[DOB]], TODAY(), "Y")</f>
        <v>51</v>
      </c>
      <c r="P12">
        <f ca="1">DATEDIF(HRDataset_clean[[#This Row],[DateofHire]], IF(HRDataset_clean[[#This Row],[DateofTermination]]="", TODAY(),HRDataset_clean[[#This Row],[DateofTermination]]),"Y")</f>
        <v>6</v>
      </c>
    </row>
    <row r="13" spans="1:16" x14ac:dyDescent="0.35">
      <c r="A13" t="s">
        <v>366</v>
      </c>
      <c r="B13">
        <v>10242</v>
      </c>
      <c r="C13">
        <v>1</v>
      </c>
      <c r="D13" s="2">
        <v>47211</v>
      </c>
      <c r="E13" s="3" t="s">
        <v>327</v>
      </c>
      <c r="F13" s="1">
        <v>27081</v>
      </c>
      <c r="G13" t="s">
        <v>328</v>
      </c>
      <c r="H13" t="s">
        <v>329</v>
      </c>
      <c r="I13" s="1">
        <v>41001</v>
      </c>
      <c r="J13" s="1">
        <v>42632</v>
      </c>
      <c r="K13" t="s">
        <v>367</v>
      </c>
      <c r="L13" t="s">
        <v>337</v>
      </c>
      <c r="M13" t="s">
        <v>332</v>
      </c>
      <c r="N13" t="s">
        <v>344</v>
      </c>
      <c r="O13">
        <f ca="1">DATEDIF(HRDataset_clean[[#This Row],[DOB]], TODAY(), "Y")</f>
        <v>51</v>
      </c>
      <c r="P13">
        <f ca="1">DATEDIF(HRDataset_clean[[#This Row],[DateofHire]], IF(HRDataset_clean[[#This Row],[DateofTermination]]="", TODAY(),HRDataset_clean[[#This Row],[DateofTermination]]),"Y")</f>
        <v>4</v>
      </c>
    </row>
    <row r="14" spans="1:16" x14ac:dyDescent="0.35">
      <c r="A14" t="s">
        <v>368</v>
      </c>
      <c r="B14">
        <v>10012</v>
      </c>
      <c r="C14">
        <v>1</v>
      </c>
      <c r="D14" s="2">
        <v>92328</v>
      </c>
      <c r="E14" s="3" t="s">
        <v>369</v>
      </c>
      <c r="F14" s="1">
        <v>32328</v>
      </c>
      <c r="G14" t="s">
        <v>328</v>
      </c>
      <c r="H14" t="s">
        <v>329</v>
      </c>
      <c r="I14" s="1">
        <v>41953</v>
      </c>
      <c r="K14" t="s">
        <v>330</v>
      </c>
      <c r="L14" t="s">
        <v>331</v>
      </c>
      <c r="M14" t="s">
        <v>338</v>
      </c>
      <c r="N14" t="s">
        <v>339</v>
      </c>
      <c r="O14">
        <f ca="1">DATEDIF(HRDataset_clean[[#This Row],[DOB]], TODAY(), "Y")</f>
        <v>37</v>
      </c>
      <c r="P14">
        <f ca="1">DATEDIF(HRDataset_clean[[#This Row],[DateofHire]], IF(HRDataset_clean[[#This Row],[DateofTermination]]="", TODAY(),HRDataset_clean[[#This Row],[DateofTermination]]),"Y")</f>
        <v>11</v>
      </c>
    </row>
    <row r="15" spans="1:16" x14ac:dyDescent="0.35">
      <c r="A15" t="s">
        <v>370</v>
      </c>
      <c r="B15">
        <v>10265</v>
      </c>
      <c r="C15">
        <v>1</v>
      </c>
      <c r="D15" s="2">
        <v>58709</v>
      </c>
      <c r="E15" s="3" t="s">
        <v>327</v>
      </c>
      <c r="F15" s="1">
        <v>30517</v>
      </c>
      <c r="G15" t="s">
        <v>328</v>
      </c>
      <c r="H15" t="s">
        <v>329</v>
      </c>
      <c r="I15" s="1">
        <v>40959</v>
      </c>
      <c r="K15" t="s">
        <v>330</v>
      </c>
      <c r="L15" t="s">
        <v>331</v>
      </c>
      <c r="M15" t="s">
        <v>332</v>
      </c>
      <c r="N15" t="s">
        <v>371</v>
      </c>
      <c r="O15">
        <f ca="1">DATEDIF(HRDataset_clean[[#This Row],[DOB]], TODAY(), "Y")</f>
        <v>42</v>
      </c>
      <c r="P15">
        <f ca="1">DATEDIF(HRDataset_clean[[#This Row],[DateofHire]], IF(HRDataset_clean[[#This Row],[DateofTermination]]="", TODAY(),HRDataset_clean[[#This Row],[DateofTermination]]),"Y")</f>
        <v>13</v>
      </c>
    </row>
    <row r="16" spans="1:16" x14ac:dyDescent="0.35">
      <c r="A16" t="s">
        <v>372</v>
      </c>
      <c r="B16">
        <v>10066</v>
      </c>
      <c r="C16">
        <v>1</v>
      </c>
      <c r="D16" s="2">
        <v>52505</v>
      </c>
      <c r="E16" s="3" t="s">
        <v>327</v>
      </c>
      <c r="F16" s="1">
        <v>28321</v>
      </c>
      <c r="G16" t="s">
        <v>328</v>
      </c>
      <c r="H16" t="s">
        <v>329</v>
      </c>
      <c r="I16" s="1">
        <v>41176</v>
      </c>
      <c r="J16" s="1">
        <v>42831</v>
      </c>
      <c r="K16" t="s">
        <v>364</v>
      </c>
      <c r="L16" t="s">
        <v>337</v>
      </c>
      <c r="M16" t="s">
        <v>332</v>
      </c>
      <c r="N16" t="s">
        <v>333</v>
      </c>
      <c r="O16">
        <f ca="1">DATEDIF(HRDataset_clean[[#This Row],[DOB]], TODAY(), "Y")</f>
        <v>48</v>
      </c>
      <c r="P16">
        <f ca="1">DATEDIF(HRDataset_clean[[#This Row],[DateofHire]], IF(HRDataset_clean[[#This Row],[DateofTermination]]="", TODAY(),HRDataset_clean[[#This Row],[DateofTermination]]),"Y")</f>
        <v>4</v>
      </c>
    </row>
    <row r="17" spans="1:16" x14ac:dyDescent="0.35">
      <c r="A17" t="s">
        <v>373</v>
      </c>
      <c r="B17">
        <v>10061</v>
      </c>
      <c r="C17">
        <v>1</v>
      </c>
      <c r="D17" s="2">
        <v>57834</v>
      </c>
      <c r="E17" s="3" t="s">
        <v>327</v>
      </c>
      <c r="F17" s="1">
        <v>29877</v>
      </c>
      <c r="G17" t="s">
        <v>328</v>
      </c>
      <c r="H17" t="s">
        <v>329</v>
      </c>
      <c r="I17" s="1">
        <v>40595</v>
      </c>
      <c r="J17" s="1">
        <v>42951</v>
      </c>
      <c r="K17" t="s">
        <v>374</v>
      </c>
      <c r="L17" t="s">
        <v>375</v>
      </c>
      <c r="M17" t="s">
        <v>332</v>
      </c>
      <c r="N17" t="s">
        <v>371</v>
      </c>
      <c r="O17">
        <f ca="1">DATEDIF(HRDataset_clean[[#This Row],[DOB]], TODAY(), "Y")</f>
        <v>44</v>
      </c>
      <c r="P17">
        <f ca="1">DATEDIF(HRDataset_clean[[#This Row],[DateofHire]], IF(HRDataset_clean[[#This Row],[DateofTermination]]="", TODAY(),HRDataset_clean[[#This Row],[DateofTermination]]),"Y")</f>
        <v>6</v>
      </c>
    </row>
    <row r="18" spans="1:16" x14ac:dyDescent="0.35">
      <c r="A18" t="s">
        <v>376</v>
      </c>
      <c r="B18">
        <v>10023</v>
      </c>
      <c r="C18">
        <v>0</v>
      </c>
      <c r="D18" s="2">
        <v>70131</v>
      </c>
      <c r="E18" s="3" t="s">
        <v>341</v>
      </c>
      <c r="F18" s="1">
        <v>24214</v>
      </c>
      <c r="G18" t="s">
        <v>342</v>
      </c>
      <c r="H18" t="s">
        <v>329</v>
      </c>
      <c r="I18" s="1">
        <v>42572</v>
      </c>
      <c r="K18" t="s">
        <v>330</v>
      </c>
      <c r="L18" t="s">
        <v>331</v>
      </c>
      <c r="M18" t="s">
        <v>332</v>
      </c>
      <c r="N18" t="s">
        <v>371</v>
      </c>
      <c r="O18">
        <f ca="1">DATEDIF(HRDataset_clean[[#This Row],[DOB]], TODAY(), "Y")</f>
        <v>59</v>
      </c>
      <c r="P18">
        <f ca="1">DATEDIF(HRDataset_clean[[#This Row],[DateofHire]], IF(HRDataset_clean[[#This Row],[DateofTermination]]="", TODAY(),HRDataset_clean[[#This Row],[DateofTermination]]),"Y")</f>
        <v>9</v>
      </c>
    </row>
    <row r="19" spans="1:16" x14ac:dyDescent="0.35">
      <c r="A19" t="s">
        <v>377</v>
      </c>
      <c r="B19">
        <v>10055</v>
      </c>
      <c r="C19">
        <v>0</v>
      </c>
      <c r="D19" s="2">
        <v>59026</v>
      </c>
      <c r="E19" s="3" t="s">
        <v>327</v>
      </c>
      <c r="F19" s="1">
        <v>25868</v>
      </c>
      <c r="G19" t="s">
        <v>342</v>
      </c>
      <c r="H19" t="s">
        <v>378</v>
      </c>
      <c r="I19" s="1">
        <v>40637</v>
      </c>
      <c r="K19" t="s">
        <v>330</v>
      </c>
      <c r="L19" t="s">
        <v>331</v>
      </c>
      <c r="M19" t="s">
        <v>332</v>
      </c>
      <c r="N19" t="s">
        <v>346</v>
      </c>
      <c r="O19">
        <f ca="1">DATEDIF(HRDataset_clean[[#This Row],[DOB]], TODAY(), "Y")</f>
        <v>55</v>
      </c>
      <c r="P19">
        <f ca="1">DATEDIF(HRDataset_clean[[#This Row],[DateofHire]], IF(HRDataset_clean[[#This Row],[DateofTermination]]="", TODAY(),HRDataset_clean[[#This Row],[DateofTermination]]),"Y")</f>
        <v>14</v>
      </c>
    </row>
    <row r="20" spans="1:16" x14ac:dyDescent="0.35">
      <c r="A20" t="s">
        <v>379</v>
      </c>
      <c r="B20">
        <v>10245</v>
      </c>
      <c r="C20">
        <v>0</v>
      </c>
      <c r="D20" s="2">
        <v>110000</v>
      </c>
      <c r="E20" s="3" t="s">
        <v>380</v>
      </c>
      <c r="F20" s="1">
        <v>31506</v>
      </c>
      <c r="G20" t="s">
        <v>342</v>
      </c>
      <c r="H20" t="s">
        <v>329</v>
      </c>
      <c r="I20" s="1">
        <v>41827</v>
      </c>
      <c r="J20" s="1">
        <v>42259</v>
      </c>
      <c r="K20" t="s">
        <v>381</v>
      </c>
      <c r="L20" t="s">
        <v>375</v>
      </c>
      <c r="M20" t="s">
        <v>338</v>
      </c>
      <c r="N20" t="s">
        <v>339</v>
      </c>
      <c r="O20">
        <f ca="1">DATEDIF(HRDataset_clean[[#This Row],[DOB]], TODAY(), "Y")</f>
        <v>39</v>
      </c>
      <c r="P20">
        <f ca="1">DATEDIF(HRDataset_clean[[#This Row],[DateofHire]], IF(HRDataset_clean[[#This Row],[DateofTermination]]="", TODAY(),HRDataset_clean[[#This Row],[DateofTermination]]),"Y")</f>
        <v>1</v>
      </c>
    </row>
    <row r="21" spans="1:16" x14ac:dyDescent="0.35">
      <c r="A21" t="s">
        <v>382</v>
      </c>
      <c r="B21">
        <v>10277</v>
      </c>
      <c r="C21">
        <v>1</v>
      </c>
      <c r="D21" s="2">
        <v>53250</v>
      </c>
      <c r="E21" s="3" t="s">
        <v>327</v>
      </c>
      <c r="F21" s="1">
        <v>28951</v>
      </c>
      <c r="G21" t="s">
        <v>328</v>
      </c>
      <c r="H21" t="s">
        <v>329</v>
      </c>
      <c r="I21" s="1">
        <v>41463</v>
      </c>
      <c r="K21" t="s">
        <v>330</v>
      </c>
      <c r="L21" t="s">
        <v>331</v>
      </c>
      <c r="M21" t="s">
        <v>332</v>
      </c>
      <c r="N21" t="s">
        <v>349</v>
      </c>
      <c r="O21">
        <f ca="1">DATEDIF(HRDataset_clean[[#This Row],[DOB]], TODAY(), "Y")</f>
        <v>46</v>
      </c>
      <c r="P21">
        <f ca="1">DATEDIF(HRDataset_clean[[#This Row],[DateofHire]], IF(HRDataset_clean[[#This Row],[DateofTermination]]="", TODAY(),HRDataset_clean[[#This Row],[DateofTermination]]),"Y")</f>
        <v>12</v>
      </c>
    </row>
    <row r="22" spans="1:16" x14ac:dyDescent="0.35">
      <c r="A22" t="s">
        <v>383</v>
      </c>
      <c r="B22">
        <v>10046</v>
      </c>
      <c r="C22">
        <v>1</v>
      </c>
      <c r="D22" s="2">
        <v>51044</v>
      </c>
      <c r="E22" s="3" t="s">
        <v>327</v>
      </c>
      <c r="F22" s="1">
        <v>25924</v>
      </c>
      <c r="G22" t="s">
        <v>328</v>
      </c>
      <c r="H22" t="s">
        <v>329</v>
      </c>
      <c r="I22" s="1">
        <v>41001</v>
      </c>
      <c r="K22" t="s">
        <v>330</v>
      </c>
      <c r="L22" t="s">
        <v>331</v>
      </c>
      <c r="M22" t="s">
        <v>332</v>
      </c>
      <c r="N22" t="s">
        <v>351</v>
      </c>
      <c r="O22">
        <f ca="1">DATEDIF(HRDataset_clean[[#This Row],[DOB]], TODAY(), "Y")</f>
        <v>54</v>
      </c>
      <c r="P22">
        <f ca="1">DATEDIF(HRDataset_clean[[#This Row],[DateofHire]], IF(HRDataset_clean[[#This Row],[DateofTermination]]="", TODAY(),HRDataset_clean[[#This Row],[DateofTermination]]),"Y")</f>
        <v>13</v>
      </c>
    </row>
    <row r="23" spans="1:16" x14ac:dyDescent="0.35">
      <c r="A23" t="s">
        <v>384</v>
      </c>
      <c r="B23">
        <v>10226</v>
      </c>
      <c r="C23">
        <v>0</v>
      </c>
      <c r="D23" s="2">
        <v>64919</v>
      </c>
      <c r="E23" s="3" t="s">
        <v>327</v>
      </c>
      <c r="F23" s="1">
        <v>21546</v>
      </c>
      <c r="G23" t="s">
        <v>342</v>
      </c>
      <c r="H23" t="s">
        <v>329</v>
      </c>
      <c r="I23" s="1">
        <v>41505</v>
      </c>
      <c r="K23" t="s">
        <v>330</v>
      </c>
      <c r="L23" t="s">
        <v>331</v>
      </c>
      <c r="M23" t="s">
        <v>332</v>
      </c>
      <c r="N23" t="s">
        <v>357</v>
      </c>
      <c r="O23">
        <f ca="1">DATEDIF(HRDataset_clean[[#This Row],[DOB]], TODAY(), "Y")</f>
        <v>66</v>
      </c>
      <c r="P23">
        <f ca="1">DATEDIF(HRDataset_clean[[#This Row],[DateofHire]], IF(HRDataset_clean[[#This Row],[DateofTermination]]="", TODAY(),HRDataset_clean[[#This Row],[DateofTermination]]),"Y")</f>
        <v>12</v>
      </c>
    </row>
    <row r="24" spans="1:16" x14ac:dyDescent="0.35">
      <c r="A24" t="s">
        <v>385</v>
      </c>
      <c r="B24">
        <v>10003</v>
      </c>
      <c r="C24">
        <v>0</v>
      </c>
      <c r="D24" s="2">
        <v>62910</v>
      </c>
      <c r="E24" s="3" t="s">
        <v>327</v>
      </c>
      <c r="F24" s="1">
        <v>32752</v>
      </c>
      <c r="G24" t="s">
        <v>342</v>
      </c>
      <c r="H24" t="s">
        <v>329</v>
      </c>
      <c r="I24" s="1">
        <v>41827</v>
      </c>
      <c r="K24" t="s">
        <v>330</v>
      </c>
      <c r="L24" t="s">
        <v>331</v>
      </c>
      <c r="M24" t="s">
        <v>332</v>
      </c>
      <c r="N24" t="s">
        <v>359</v>
      </c>
      <c r="O24">
        <f ca="1">DATEDIF(HRDataset_clean[[#This Row],[DOB]], TODAY(), "Y")</f>
        <v>36</v>
      </c>
      <c r="P24">
        <f ca="1">DATEDIF(HRDataset_clean[[#This Row],[DateofHire]], IF(HRDataset_clean[[#This Row],[DateofTermination]]="", TODAY(),HRDataset_clean[[#This Row],[DateofTermination]]),"Y")</f>
        <v>11</v>
      </c>
    </row>
    <row r="25" spans="1:16" x14ac:dyDescent="0.35">
      <c r="A25" t="s">
        <v>386</v>
      </c>
      <c r="B25">
        <v>10294</v>
      </c>
      <c r="C25">
        <v>0</v>
      </c>
      <c r="D25" s="2">
        <v>66441</v>
      </c>
      <c r="E25" s="3" t="s">
        <v>341</v>
      </c>
      <c r="F25" s="1">
        <v>33137</v>
      </c>
      <c r="G25" t="s">
        <v>342</v>
      </c>
      <c r="H25" t="s">
        <v>329</v>
      </c>
      <c r="I25" s="1">
        <v>40637</v>
      </c>
      <c r="K25" t="s">
        <v>330</v>
      </c>
      <c r="L25" t="s">
        <v>331</v>
      </c>
      <c r="M25" t="s">
        <v>332</v>
      </c>
      <c r="N25" t="s">
        <v>333</v>
      </c>
      <c r="O25">
        <f ca="1">DATEDIF(HRDataset_clean[[#This Row],[DOB]], TODAY(), "Y")</f>
        <v>35</v>
      </c>
      <c r="P25">
        <f ca="1">DATEDIF(HRDataset_clean[[#This Row],[DateofHire]], IF(HRDataset_clean[[#This Row],[DateofTermination]]="", TODAY(),HRDataset_clean[[#This Row],[DateofTermination]]),"Y")</f>
        <v>14</v>
      </c>
    </row>
    <row r="26" spans="1:16" x14ac:dyDescent="0.35">
      <c r="A26" t="s">
        <v>387</v>
      </c>
      <c r="B26">
        <v>10267</v>
      </c>
      <c r="C26">
        <v>0</v>
      </c>
      <c r="D26" s="2">
        <v>57815</v>
      </c>
      <c r="E26" s="3" t="s">
        <v>341</v>
      </c>
      <c r="F26" s="1">
        <v>24488</v>
      </c>
      <c r="G26" t="s">
        <v>342</v>
      </c>
      <c r="H26" t="s">
        <v>329</v>
      </c>
      <c r="I26" s="1">
        <v>40553</v>
      </c>
      <c r="J26" s="1">
        <v>41733</v>
      </c>
      <c r="K26" t="s">
        <v>336</v>
      </c>
      <c r="L26" t="s">
        <v>337</v>
      </c>
      <c r="M26" t="s">
        <v>332</v>
      </c>
      <c r="N26" t="s">
        <v>346</v>
      </c>
      <c r="O26">
        <f ca="1">DATEDIF(HRDataset_clean[[#This Row],[DOB]], TODAY(), "Y")</f>
        <v>58</v>
      </c>
      <c r="P26">
        <f ca="1">DATEDIF(HRDataset_clean[[#This Row],[DateofHire]], IF(HRDataset_clean[[#This Row],[DateofTermination]]="", TODAY(),HRDataset_clean[[#This Row],[DateofTermination]]),"Y")</f>
        <v>3</v>
      </c>
    </row>
    <row r="27" spans="1:16" x14ac:dyDescent="0.35">
      <c r="A27" t="s">
        <v>388</v>
      </c>
      <c r="B27">
        <v>10199</v>
      </c>
      <c r="C27">
        <v>1</v>
      </c>
      <c r="D27" s="2">
        <v>103613</v>
      </c>
      <c r="E27" s="3" t="s">
        <v>389</v>
      </c>
      <c r="F27" s="1">
        <v>23588</v>
      </c>
      <c r="G27" t="s">
        <v>328</v>
      </c>
      <c r="H27" t="s">
        <v>329</v>
      </c>
      <c r="I27" s="1">
        <v>41687</v>
      </c>
      <c r="J27" s="1">
        <v>42419</v>
      </c>
      <c r="K27" t="s">
        <v>390</v>
      </c>
      <c r="L27" t="s">
        <v>375</v>
      </c>
      <c r="M27" t="s">
        <v>338</v>
      </c>
      <c r="N27" t="s">
        <v>339</v>
      </c>
      <c r="O27">
        <f ca="1">DATEDIF(HRDataset_clean[[#This Row],[DOB]], TODAY(), "Y")</f>
        <v>61</v>
      </c>
      <c r="P27">
        <f ca="1">DATEDIF(HRDataset_clean[[#This Row],[DateofHire]], IF(HRDataset_clean[[#This Row],[DateofTermination]]="", TODAY(),HRDataset_clean[[#This Row],[DateofTermination]]),"Y")</f>
        <v>2</v>
      </c>
    </row>
    <row r="28" spans="1:16" x14ac:dyDescent="0.35">
      <c r="A28" t="s">
        <v>391</v>
      </c>
      <c r="B28">
        <v>10081</v>
      </c>
      <c r="C28">
        <v>0</v>
      </c>
      <c r="D28" s="2">
        <v>106367</v>
      </c>
      <c r="E28" s="3" t="s">
        <v>392</v>
      </c>
      <c r="F28" s="1">
        <v>31871</v>
      </c>
      <c r="G28" t="s">
        <v>342</v>
      </c>
      <c r="H28" t="s">
        <v>329</v>
      </c>
      <c r="I28" s="1">
        <v>42051</v>
      </c>
      <c r="K28" t="s">
        <v>330</v>
      </c>
      <c r="L28" t="s">
        <v>331</v>
      </c>
      <c r="M28" t="s">
        <v>393</v>
      </c>
      <c r="N28" t="s">
        <v>394</v>
      </c>
      <c r="O28">
        <f ca="1">DATEDIF(HRDataset_clean[[#This Row],[DOB]], TODAY(), "Y")</f>
        <v>38</v>
      </c>
      <c r="P28">
        <f ca="1">DATEDIF(HRDataset_clean[[#This Row],[DateofHire]], IF(HRDataset_clean[[#This Row],[DateofTermination]]="", TODAY(),HRDataset_clean[[#This Row],[DateofTermination]]),"Y")</f>
        <v>10</v>
      </c>
    </row>
    <row r="29" spans="1:16" x14ac:dyDescent="0.35">
      <c r="A29" t="s">
        <v>395</v>
      </c>
      <c r="B29">
        <v>10175</v>
      </c>
      <c r="C29">
        <v>1</v>
      </c>
      <c r="D29" s="2">
        <v>74312</v>
      </c>
      <c r="E29" s="3" t="s">
        <v>396</v>
      </c>
      <c r="F29" s="1">
        <v>25637</v>
      </c>
      <c r="G29" t="s">
        <v>328</v>
      </c>
      <c r="H29" t="s">
        <v>329</v>
      </c>
      <c r="I29" s="1">
        <v>41547</v>
      </c>
      <c r="J29" s="1">
        <v>41858</v>
      </c>
      <c r="K29" t="s">
        <v>397</v>
      </c>
      <c r="L29" t="s">
        <v>337</v>
      </c>
      <c r="M29" t="s">
        <v>332</v>
      </c>
      <c r="N29" t="s">
        <v>398</v>
      </c>
      <c r="O29">
        <f ca="1">DATEDIF(HRDataset_clean[[#This Row],[DOB]], TODAY(), "Y")</f>
        <v>55</v>
      </c>
      <c r="P29">
        <f ca="1">DATEDIF(HRDataset_clean[[#This Row],[DateofHire]], IF(HRDataset_clean[[#This Row],[DateofTermination]]="", TODAY(),HRDataset_clean[[#This Row],[DateofTermination]]),"Y")</f>
        <v>0</v>
      </c>
    </row>
    <row r="30" spans="1:16" x14ac:dyDescent="0.35">
      <c r="A30" t="s">
        <v>399</v>
      </c>
      <c r="B30">
        <v>10177</v>
      </c>
      <c r="C30">
        <v>0</v>
      </c>
      <c r="D30" s="2">
        <v>53492</v>
      </c>
      <c r="E30" s="3" t="s">
        <v>327</v>
      </c>
      <c r="F30" s="1">
        <v>33109</v>
      </c>
      <c r="G30" t="s">
        <v>342</v>
      </c>
      <c r="H30" t="s">
        <v>329</v>
      </c>
      <c r="I30" s="1">
        <v>41001</v>
      </c>
      <c r="J30" s="1">
        <v>41440</v>
      </c>
      <c r="K30" t="s">
        <v>364</v>
      </c>
      <c r="L30" t="s">
        <v>337</v>
      </c>
      <c r="M30" t="s">
        <v>332</v>
      </c>
      <c r="N30" t="s">
        <v>365</v>
      </c>
      <c r="O30">
        <f ca="1">DATEDIF(HRDataset_clean[[#This Row],[DOB]], TODAY(), "Y")</f>
        <v>35</v>
      </c>
      <c r="P30">
        <f ca="1">DATEDIF(HRDataset_clean[[#This Row],[DateofHire]], IF(HRDataset_clean[[#This Row],[DateofTermination]]="", TODAY(),HRDataset_clean[[#This Row],[DateofTermination]]),"Y")</f>
        <v>1</v>
      </c>
    </row>
    <row r="31" spans="1:16" x14ac:dyDescent="0.35">
      <c r="A31" t="s">
        <v>400</v>
      </c>
      <c r="B31">
        <v>10238</v>
      </c>
      <c r="C31">
        <v>0</v>
      </c>
      <c r="D31" s="2">
        <v>63000</v>
      </c>
      <c r="E31" s="3" t="s">
        <v>401</v>
      </c>
      <c r="F31" s="1">
        <v>32105</v>
      </c>
      <c r="G31" t="s">
        <v>342</v>
      </c>
      <c r="H31" t="s">
        <v>329</v>
      </c>
      <c r="I31" s="1">
        <v>39748</v>
      </c>
      <c r="K31" t="s">
        <v>330</v>
      </c>
      <c r="L31" t="s">
        <v>331</v>
      </c>
      <c r="M31" t="s">
        <v>393</v>
      </c>
      <c r="N31" t="s">
        <v>394</v>
      </c>
      <c r="O31">
        <f ca="1">DATEDIF(HRDataset_clean[[#This Row],[DOB]], TODAY(), "Y")</f>
        <v>38</v>
      </c>
      <c r="P31">
        <f ca="1">DATEDIF(HRDataset_clean[[#This Row],[DateofHire]], IF(HRDataset_clean[[#This Row],[DateofTermination]]="", TODAY(),HRDataset_clean[[#This Row],[DateofTermination]]),"Y")</f>
        <v>17</v>
      </c>
    </row>
    <row r="32" spans="1:16" x14ac:dyDescent="0.35">
      <c r="A32" t="s">
        <v>402</v>
      </c>
      <c r="B32">
        <v>10184</v>
      </c>
      <c r="C32">
        <v>1</v>
      </c>
      <c r="D32" s="2">
        <v>65288</v>
      </c>
      <c r="E32" s="3" t="s">
        <v>341</v>
      </c>
      <c r="F32" s="1">
        <v>30525</v>
      </c>
      <c r="G32" t="s">
        <v>328</v>
      </c>
      <c r="H32" t="s">
        <v>329</v>
      </c>
      <c r="I32" s="1">
        <v>41911</v>
      </c>
      <c r="K32" t="s">
        <v>330</v>
      </c>
      <c r="L32" t="s">
        <v>331</v>
      </c>
      <c r="M32" t="s">
        <v>332</v>
      </c>
      <c r="N32" t="s">
        <v>349</v>
      </c>
      <c r="O32">
        <f ca="1">DATEDIF(HRDataset_clean[[#This Row],[DOB]], TODAY(), "Y")</f>
        <v>42</v>
      </c>
      <c r="P32">
        <f ca="1">DATEDIF(HRDataset_clean[[#This Row],[DateofHire]], IF(HRDataset_clean[[#This Row],[DateofTermination]]="", TODAY(),HRDataset_clean[[#This Row],[DateofTermination]]),"Y")</f>
        <v>11</v>
      </c>
    </row>
    <row r="33" spans="1:16" x14ac:dyDescent="0.35">
      <c r="A33" t="s">
        <v>403</v>
      </c>
      <c r="B33">
        <v>10203</v>
      </c>
      <c r="C33">
        <v>0</v>
      </c>
      <c r="D33" s="2">
        <v>64375</v>
      </c>
      <c r="E33" s="3" t="s">
        <v>327</v>
      </c>
      <c r="F33" s="1">
        <v>25506</v>
      </c>
      <c r="G33" t="s">
        <v>342</v>
      </c>
      <c r="H33" t="s">
        <v>329</v>
      </c>
      <c r="I33" s="1">
        <v>41589</v>
      </c>
      <c r="K33" t="s">
        <v>330</v>
      </c>
      <c r="L33" t="s">
        <v>331</v>
      </c>
      <c r="M33" t="s">
        <v>332</v>
      </c>
      <c r="N33" t="s">
        <v>344</v>
      </c>
      <c r="O33">
        <f ca="1">DATEDIF(HRDataset_clean[[#This Row],[DOB]], TODAY(), "Y")</f>
        <v>56</v>
      </c>
      <c r="P33">
        <f ca="1">DATEDIF(HRDataset_clean[[#This Row],[DateofHire]], IF(HRDataset_clean[[#This Row],[DateofTermination]]="", TODAY(),HRDataset_clean[[#This Row],[DateofTermination]]),"Y")</f>
        <v>12</v>
      </c>
    </row>
    <row r="34" spans="1:16" x14ac:dyDescent="0.35">
      <c r="A34" t="s">
        <v>404</v>
      </c>
      <c r="B34">
        <v>10188</v>
      </c>
      <c r="C34">
        <v>0</v>
      </c>
      <c r="D34" s="2">
        <v>74326</v>
      </c>
      <c r="E34" s="3" t="s">
        <v>405</v>
      </c>
      <c r="F34" s="1">
        <v>23529</v>
      </c>
      <c r="G34" t="s">
        <v>342</v>
      </c>
      <c r="H34" t="s">
        <v>378</v>
      </c>
      <c r="I34" s="1">
        <v>40770</v>
      </c>
      <c r="J34" s="1">
        <v>41853</v>
      </c>
      <c r="K34" t="s">
        <v>364</v>
      </c>
      <c r="L34" t="s">
        <v>337</v>
      </c>
      <c r="M34" t="s">
        <v>406</v>
      </c>
      <c r="N34" t="s">
        <v>407</v>
      </c>
      <c r="O34">
        <f ca="1">DATEDIF(HRDataset_clean[[#This Row],[DOB]], TODAY(), "Y")</f>
        <v>61</v>
      </c>
      <c r="P34">
        <f ca="1">DATEDIF(HRDataset_clean[[#This Row],[DateofHire]], IF(HRDataset_clean[[#This Row],[DateofTermination]]="", TODAY(),HRDataset_clean[[#This Row],[DateofTermination]]),"Y")</f>
        <v>2</v>
      </c>
    </row>
    <row r="35" spans="1:16" x14ac:dyDescent="0.35">
      <c r="A35" t="s">
        <v>408</v>
      </c>
      <c r="B35">
        <v>10107</v>
      </c>
      <c r="C35">
        <v>0</v>
      </c>
      <c r="D35" s="2">
        <v>63763</v>
      </c>
      <c r="E35" s="3" t="s">
        <v>341</v>
      </c>
      <c r="F35" s="1">
        <v>29282</v>
      </c>
      <c r="G35" t="s">
        <v>342</v>
      </c>
      <c r="H35" t="s">
        <v>329</v>
      </c>
      <c r="I35" s="1">
        <v>40973</v>
      </c>
      <c r="K35" t="s">
        <v>330</v>
      </c>
      <c r="L35" t="s">
        <v>331</v>
      </c>
      <c r="M35" t="s">
        <v>332</v>
      </c>
      <c r="N35" t="s">
        <v>351</v>
      </c>
      <c r="O35">
        <f ca="1">DATEDIF(HRDataset_clean[[#This Row],[DOB]], TODAY(), "Y")</f>
        <v>45</v>
      </c>
      <c r="P35">
        <f ca="1">DATEDIF(HRDataset_clean[[#This Row],[DateofHire]], IF(HRDataset_clean[[#This Row],[DateofTermination]]="", TODAY(),HRDataset_clean[[#This Row],[DateofTermination]]),"Y")</f>
        <v>13</v>
      </c>
    </row>
    <row r="36" spans="1:16" x14ac:dyDescent="0.35">
      <c r="A36" t="s">
        <v>409</v>
      </c>
      <c r="B36">
        <v>10181</v>
      </c>
      <c r="C36">
        <v>1</v>
      </c>
      <c r="D36" s="2">
        <v>62162</v>
      </c>
      <c r="E36" s="3" t="s">
        <v>341</v>
      </c>
      <c r="F36" s="1">
        <v>28356</v>
      </c>
      <c r="G36" t="s">
        <v>328</v>
      </c>
      <c r="H36" t="s">
        <v>329</v>
      </c>
      <c r="I36" s="1">
        <v>40637</v>
      </c>
      <c r="K36" t="s">
        <v>330</v>
      </c>
      <c r="L36" t="s">
        <v>331</v>
      </c>
      <c r="M36" t="s">
        <v>332</v>
      </c>
      <c r="N36" t="s">
        <v>357</v>
      </c>
      <c r="O36">
        <f ca="1">DATEDIF(HRDataset_clean[[#This Row],[DOB]], TODAY(), "Y")</f>
        <v>48</v>
      </c>
      <c r="P36">
        <f ca="1">DATEDIF(HRDataset_clean[[#This Row],[DateofHire]], IF(HRDataset_clean[[#This Row],[DateofTermination]]="", TODAY(),HRDataset_clean[[#This Row],[DateofTermination]]),"Y")</f>
        <v>14</v>
      </c>
    </row>
    <row r="37" spans="1:16" x14ac:dyDescent="0.35">
      <c r="A37" t="s">
        <v>410</v>
      </c>
      <c r="B37">
        <v>10150</v>
      </c>
      <c r="C37">
        <v>1</v>
      </c>
      <c r="D37" s="2">
        <v>77692</v>
      </c>
      <c r="E37" s="3" t="s">
        <v>411</v>
      </c>
      <c r="F37" s="1">
        <v>24433</v>
      </c>
      <c r="G37" t="s">
        <v>328</v>
      </c>
      <c r="H37" t="s">
        <v>329</v>
      </c>
      <c r="I37" s="1">
        <v>40770</v>
      </c>
      <c r="K37" t="s">
        <v>330</v>
      </c>
      <c r="L37" t="s">
        <v>331</v>
      </c>
      <c r="M37" t="s">
        <v>354</v>
      </c>
      <c r="N37" t="s">
        <v>412</v>
      </c>
      <c r="O37">
        <f ca="1">DATEDIF(HRDataset_clean[[#This Row],[DOB]], TODAY(), "Y")</f>
        <v>59</v>
      </c>
      <c r="P37">
        <f ca="1">DATEDIF(HRDataset_clean[[#This Row],[DateofHire]], IF(HRDataset_clean[[#This Row],[DateofTermination]]="", TODAY(),HRDataset_clean[[#This Row],[DateofTermination]]),"Y")</f>
        <v>14</v>
      </c>
    </row>
    <row r="38" spans="1:16" x14ac:dyDescent="0.35">
      <c r="A38" t="s">
        <v>413</v>
      </c>
      <c r="B38">
        <v>10001</v>
      </c>
      <c r="C38">
        <v>1</v>
      </c>
      <c r="D38" s="2">
        <v>72640</v>
      </c>
      <c r="E38" s="3" t="s">
        <v>396</v>
      </c>
      <c r="F38" s="1">
        <v>30537</v>
      </c>
      <c r="G38" t="s">
        <v>328</v>
      </c>
      <c r="H38" t="s">
        <v>329</v>
      </c>
      <c r="I38" s="1">
        <v>42397</v>
      </c>
      <c r="K38" t="s">
        <v>330</v>
      </c>
      <c r="L38" t="s">
        <v>331</v>
      </c>
      <c r="M38" t="s">
        <v>332</v>
      </c>
      <c r="N38" t="s">
        <v>398</v>
      </c>
      <c r="O38">
        <f ca="1">DATEDIF(HRDataset_clean[[#This Row],[DOB]], TODAY(), "Y")</f>
        <v>42</v>
      </c>
      <c r="P38">
        <f ca="1">DATEDIF(HRDataset_clean[[#This Row],[DateofHire]], IF(HRDataset_clean[[#This Row],[DateofTermination]]="", TODAY(),HRDataset_clean[[#This Row],[DateofTermination]]),"Y")</f>
        <v>9</v>
      </c>
    </row>
    <row r="39" spans="1:16" x14ac:dyDescent="0.35">
      <c r="A39" t="s">
        <v>414</v>
      </c>
      <c r="B39">
        <v>10085</v>
      </c>
      <c r="C39">
        <v>0</v>
      </c>
      <c r="D39" s="2">
        <v>93396</v>
      </c>
      <c r="E39" s="3" t="s">
        <v>353</v>
      </c>
      <c r="F39" s="1">
        <v>31872</v>
      </c>
      <c r="G39" t="s">
        <v>342</v>
      </c>
      <c r="H39" t="s">
        <v>329</v>
      </c>
      <c r="I39" s="1">
        <v>41589</v>
      </c>
      <c r="K39" t="s">
        <v>330</v>
      </c>
      <c r="L39" t="s">
        <v>331</v>
      </c>
      <c r="M39" t="s">
        <v>354</v>
      </c>
      <c r="N39" t="s">
        <v>355</v>
      </c>
      <c r="O39">
        <f ca="1">DATEDIF(HRDataset_clean[[#This Row],[DOB]], TODAY(), "Y")</f>
        <v>38</v>
      </c>
      <c r="P39">
        <f ca="1">DATEDIF(HRDataset_clean[[#This Row],[DateofHire]], IF(HRDataset_clean[[#This Row],[DateofTermination]]="", TODAY(),HRDataset_clean[[#This Row],[DateofTermination]]),"Y")</f>
        <v>12</v>
      </c>
    </row>
    <row r="40" spans="1:16" x14ac:dyDescent="0.35">
      <c r="A40" t="s">
        <v>415</v>
      </c>
      <c r="B40">
        <v>10115</v>
      </c>
      <c r="C40">
        <v>1</v>
      </c>
      <c r="D40" s="2">
        <v>52846</v>
      </c>
      <c r="E40" s="3" t="s">
        <v>327</v>
      </c>
      <c r="F40" s="1">
        <v>30349</v>
      </c>
      <c r="G40" t="s">
        <v>328</v>
      </c>
      <c r="H40" t="s">
        <v>329</v>
      </c>
      <c r="I40" s="1">
        <v>41729</v>
      </c>
      <c r="K40" t="s">
        <v>330</v>
      </c>
      <c r="L40" t="s">
        <v>331</v>
      </c>
      <c r="M40" t="s">
        <v>332</v>
      </c>
      <c r="N40" t="s">
        <v>371</v>
      </c>
      <c r="O40">
        <f ca="1">DATEDIF(HRDataset_clean[[#This Row],[DOB]], TODAY(), "Y")</f>
        <v>42</v>
      </c>
      <c r="P40">
        <f ca="1">DATEDIF(HRDataset_clean[[#This Row],[DateofHire]], IF(HRDataset_clean[[#This Row],[DateofTermination]]="", TODAY(),HRDataset_clean[[#This Row],[DateofTermination]]),"Y")</f>
        <v>11</v>
      </c>
    </row>
    <row r="41" spans="1:16" x14ac:dyDescent="0.35">
      <c r="A41" t="s">
        <v>416</v>
      </c>
      <c r="B41">
        <v>10082</v>
      </c>
      <c r="C41">
        <v>0</v>
      </c>
      <c r="D41" s="2">
        <v>100031</v>
      </c>
      <c r="E41" s="3" t="s">
        <v>335</v>
      </c>
      <c r="F41" s="1">
        <v>31569</v>
      </c>
      <c r="G41" t="s">
        <v>342</v>
      </c>
      <c r="H41" t="s">
        <v>329</v>
      </c>
      <c r="I41" s="1">
        <v>42551</v>
      </c>
      <c r="K41" t="s">
        <v>330</v>
      </c>
      <c r="L41" t="s">
        <v>331</v>
      </c>
      <c r="M41" t="s">
        <v>338</v>
      </c>
      <c r="N41" t="s">
        <v>339</v>
      </c>
      <c r="O41">
        <f ca="1">DATEDIF(HRDataset_clean[[#This Row],[DOB]], TODAY(), "Y")</f>
        <v>39</v>
      </c>
      <c r="P41">
        <f ca="1">DATEDIF(HRDataset_clean[[#This Row],[DateofHire]], IF(HRDataset_clean[[#This Row],[DateofTermination]]="", TODAY(),HRDataset_clean[[#This Row],[DateofTermination]]),"Y")</f>
        <v>9</v>
      </c>
    </row>
    <row r="42" spans="1:16" x14ac:dyDescent="0.35">
      <c r="A42" t="s">
        <v>417</v>
      </c>
      <c r="B42">
        <v>10040</v>
      </c>
      <c r="C42">
        <v>0</v>
      </c>
      <c r="D42" s="2">
        <v>71860</v>
      </c>
      <c r="E42" s="3" t="s">
        <v>405</v>
      </c>
      <c r="F42" s="1">
        <v>23146</v>
      </c>
      <c r="G42" t="s">
        <v>342</v>
      </c>
      <c r="H42" t="s">
        <v>329</v>
      </c>
      <c r="I42" s="1">
        <v>41869</v>
      </c>
      <c r="K42" t="s">
        <v>330</v>
      </c>
      <c r="L42" t="s">
        <v>331</v>
      </c>
      <c r="M42" t="s">
        <v>406</v>
      </c>
      <c r="N42" t="s">
        <v>407</v>
      </c>
      <c r="O42">
        <f ca="1">DATEDIF(HRDataset_clean[[#This Row],[DOB]], TODAY(), "Y")</f>
        <v>62</v>
      </c>
      <c r="P42">
        <f ca="1">DATEDIF(HRDataset_clean[[#This Row],[DateofHire]], IF(HRDataset_clean[[#This Row],[DateofTermination]]="", TODAY(),HRDataset_clean[[#This Row],[DateofTermination]]),"Y")</f>
        <v>11</v>
      </c>
    </row>
    <row r="43" spans="1:16" x14ac:dyDescent="0.35">
      <c r="A43" t="s">
        <v>418</v>
      </c>
      <c r="B43">
        <v>10067</v>
      </c>
      <c r="C43">
        <v>0</v>
      </c>
      <c r="D43" s="2">
        <v>61656</v>
      </c>
      <c r="E43" s="3" t="s">
        <v>327</v>
      </c>
      <c r="F43" s="1">
        <v>18630</v>
      </c>
      <c r="G43" t="s">
        <v>342</v>
      </c>
      <c r="H43" t="s">
        <v>329</v>
      </c>
      <c r="I43" s="1">
        <v>41911</v>
      </c>
      <c r="K43" t="s">
        <v>330</v>
      </c>
      <c r="L43" t="s">
        <v>331</v>
      </c>
      <c r="M43" t="s">
        <v>332</v>
      </c>
      <c r="N43" t="s">
        <v>333</v>
      </c>
      <c r="O43">
        <f ca="1">DATEDIF(HRDataset_clean[[#This Row],[DOB]], TODAY(), "Y")</f>
        <v>74</v>
      </c>
      <c r="P43">
        <f ca="1">DATEDIF(HRDataset_clean[[#This Row],[DateofHire]], IF(HRDataset_clean[[#This Row],[DateofTermination]]="", TODAY(),HRDataset_clean[[#This Row],[DateofTermination]]),"Y")</f>
        <v>11</v>
      </c>
    </row>
    <row r="44" spans="1:16" x14ac:dyDescent="0.35">
      <c r="A44" t="s">
        <v>419</v>
      </c>
      <c r="B44">
        <v>10108</v>
      </c>
      <c r="C44">
        <v>1</v>
      </c>
      <c r="D44" s="2">
        <v>110929</v>
      </c>
      <c r="E44" s="3" t="s">
        <v>420</v>
      </c>
      <c r="F44" s="1">
        <v>26338</v>
      </c>
      <c r="G44" t="s">
        <v>328</v>
      </c>
      <c r="H44" t="s">
        <v>329</v>
      </c>
      <c r="I44" s="1">
        <v>42619</v>
      </c>
      <c r="K44" t="s">
        <v>330</v>
      </c>
      <c r="L44" t="s">
        <v>331</v>
      </c>
      <c r="M44" t="s">
        <v>338</v>
      </c>
      <c r="N44" t="s">
        <v>412</v>
      </c>
      <c r="O44">
        <f ca="1">DATEDIF(HRDataset_clean[[#This Row],[DOB]], TODAY(), "Y")</f>
        <v>53</v>
      </c>
      <c r="P44">
        <f ca="1">DATEDIF(HRDataset_clean[[#This Row],[DateofHire]], IF(HRDataset_clean[[#This Row],[DateofTermination]]="", TODAY(),HRDataset_clean[[#This Row],[DateofTermination]]),"Y")</f>
        <v>9</v>
      </c>
    </row>
    <row r="45" spans="1:16" x14ac:dyDescent="0.35">
      <c r="A45" t="s">
        <v>421</v>
      </c>
      <c r="B45">
        <v>10210</v>
      </c>
      <c r="C45">
        <v>0</v>
      </c>
      <c r="D45" s="2">
        <v>54237</v>
      </c>
      <c r="E45" s="3" t="s">
        <v>327</v>
      </c>
      <c r="F45" s="1">
        <v>28898</v>
      </c>
      <c r="G45" t="s">
        <v>342</v>
      </c>
      <c r="H45" t="s">
        <v>329</v>
      </c>
      <c r="I45" s="1">
        <v>41771</v>
      </c>
      <c r="K45" t="s">
        <v>330</v>
      </c>
      <c r="L45" t="s">
        <v>331</v>
      </c>
      <c r="M45" t="s">
        <v>332</v>
      </c>
      <c r="N45" t="s">
        <v>346</v>
      </c>
      <c r="O45">
        <f ca="1">DATEDIF(HRDataset_clean[[#This Row],[DOB]], TODAY(), "Y")</f>
        <v>46</v>
      </c>
      <c r="P45">
        <f ca="1">DATEDIF(HRDataset_clean[[#This Row],[DateofHire]], IF(HRDataset_clean[[#This Row],[DateofTermination]]="", TODAY(),HRDataset_clean[[#This Row],[DateofTermination]]),"Y")</f>
        <v>11</v>
      </c>
    </row>
    <row r="46" spans="1:16" x14ac:dyDescent="0.35">
      <c r="A46" t="s">
        <v>422</v>
      </c>
      <c r="B46">
        <v>10154</v>
      </c>
      <c r="C46">
        <v>1</v>
      </c>
      <c r="D46" s="2">
        <v>60380</v>
      </c>
      <c r="E46" s="3" t="s">
        <v>327</v>
      </c>
      <c r="F46" s="1">
        <v>30552</v>
      </c>
      <c r="G46" t="s">
        <v>328</v>
      </c>
      <c r="H46" t="s">
        <v>329</v>
      </c>
      <c r="I46" s="1">
        <v>41463</v>
      </c>
      <c r="K46" t="s">
        <v>330</v>
      </c>
      <c r="L46" t="s">
        <v>331</v>
      </c>
      <c r="M46" t="s">
        <v>332</v>
      </c>
      <c r="N46" t="s">
        <v>349</v>
      </c>
      <c r="O46">
        <f ca="1">DATEDIF(HRDataset_clean[[#This Row],[DOB]], TODAY(), "Y")</f>
        <v>42</v>
      </c>
      <c r="P46">
        <f ca="1">DATEDIF(HRDataset_clean[[#This Row],[DateofHire]], IF(HRDataset_clean[[#This Row],[DateofTermination]]="", TODAY(),HRDataset_clean[[#This Row],[DateofTermination]]),"Y")</f>
        <v>12</v>
      </c>
    </row>
    <row r="47" spans="1:16" x14ac:dyDescent="0.35">
      <c r="A47" t="s">
        <v>423</v>
      </c>
      <c r="B47">
        <v>10200</v>
      </c>
      <c r="C47">
        <v>1</v>
      </c>
      <c r="D47" s="2">
        <v>66808</v>
      </c>
      <c r="E47" s="3" t="s">
        <v>405</v>
      </c>
      <c r="F47" s="1">
        <v>25730</v>
      </c>
      <c r="G47" t="s">
        <v>328</v>
      </c>
      <c r="H47" t="s">
        <v>378</v>
      </c>
      <c r="I47" s="1">
        <v>41043</v>
      </c>
      <c r="K47" t="s">
        <v>330</v>
      </c>
      <c r="L47" t="s">
        <v>331</v>
      </c>
      <c r="M47" t="s">
        <v>406</v>
      </c>
      <c r="N47" t="s">
        <v>424</v>
      </c>
      <c r="O47">
        <f ca="1">DATEDIF(HRDataset_clean[[#This Row],[DOB]], TODAY(), "Y")</f>
        <v>55</v>
      </c>
      <c r="P47">
        <f ca="1">DATEDIF(HRDataset_clean[[#This Row],[DateofHire]], IF(HRDataset_clean[[#This Row],[DateofTermination]]="", TODAY(),HRDataset_clean[[#This Row],[DateofTermination]]),"Y")</f>
        <v>13</v>
      </c>
    </row>
    <row r="48" spans="1:16" x14ac:dyDescent="0.35">
      <c r="A48" t="s">
        <v>425</v>
      </c>
      <c r="B48">
        <v>10240</v>
      </c>
      <c r="C48">
        <v>0</v>
      </c>
      <c r="D48" s="2">
        <v>64786</v>
      </c>
      <c r="E48" s="3" t="s">
        <v>327</v>
      </c>
      <c r="F48" s="1">
        <v>30555</v>
      </c>
      <c r="G48" t="s">
        <v>342</v>
      </c>
      <c r="H48" t="s">
        <v>329</v>
      </c>
      <c r="I48" s="1">
        <v>40721</v>
      </c>
      <c r="J48" s="1">
        <v>42323</v>
      </c>
      <c r="K48" t="s">
        <v>426</v>
      </c>
      <c r="L48" t="s">
        <v>337</v>
      </c>
      <c r="M48" t="s">
        <v>332</v>
      </c>
      <c r="N48" t="s">
        <v>351</v>
      </c>
      <c r="O48">
        <f ca="1">DATEDIF(HRDataset_clean[[#This Row],[DOB]], TODAY(), "Y")</f>
        <v>42</v>
      </c>
      <c r="P48">
        <f ca="1">DATEDIF(HRDataset_clean[[#This Row],[DateofHire]], IF(HRDataset_clean[[#This Row],[DateofTermination]]="", TODAY(),HRDataset_clean[[#This Row],[DateofTermination]]),"Y")</f>
        <v>4</v>
      </c>
    </row>
    <row r="49" spans="1:16" x14ac:dyDescent="0.35">
      <c r="A49" t="s">
        <v>427</v>
      </c>
      <c r="B49">
        <v>10168</v>
      </c>
      <c r="C49">
        <v>0</v>
      </c>
      <c r="D49" s="2">
        <v>64816</v>
      </c>
      <c r="E49" s="3" t="s">
        <v>327</v>
      </c>
      <c r="F49" s="1">
        <v>32294</v>
      </c>
      <c r="G49" t="s">
        <v>342</v>
      </c>
      <c r="H49" t="s">
        <v>428</v>
      </c>
      <c r="I49" s="1">
        <v>40819</v>
      </c>
      <c r="K49" t="s">
        <v>330</v>
      </c>
      <c r="L49" t="s">
        <v>331</v>
      </c>
      <c r="M49" t="s">
        <v>332</v>
      </c>
      <c r="N49" t="s">
        <v>357</v>
      </c>
      <c r="O49">
        <f ca="1">DATEDIF(HRDataset_clean[[#This Row],[DOB]], TODAY(), "Y")</f>
        <v>37</v>
      </c>
      <c r="P49">
        <f ca="1">DATEDIF(HRDataset_clean[[#This Row],[DateofHire]], IF(HRDataset_clean[[#This Row],[DateofTermination]]="", TODAY(),HRDataset_clean[[#This Row],[DateofTermination]]),"Y")</f>
        <v>14</v>
      </c>
    </row>
    <row r="50" spans="1:16" x14ac:dyDescent="0.35">
      <c r="A50" t="s">
        <v>429</v>
      </c>
      <c r="B50">
        <v>10220</v>
      </c>
      <c r="C50">
        <v>1</v>
      </c>
      <c r="D50" s="2">
        <v>68678</v>
      </c>
      <c r="E50" s="3" t="s">
        <v>361</v>
      </c>
      <c r="F50" s="1">
        <v>31295</v>
      </c>
      <c r="G50" t="s">
        <v>328</v>
      </c>
      <c r="H50" t="s">
        <v>329</v>
      </c>
      <c r="I50" s="1">
        <v>41157</v>
      </c>
      <c r="K50" t="s">
        <v>330</v>
      </c>
      <c r="L50" t="s">
        <v>331</v>
      </c>
      <c r="M50" t="s">
        <v>338</v>
      </c>
      <c r="N50" t="s">
        <v>430</v>
      </c>
      <c r="O50">
        <f ca="1">DATEDIF(HRDataset_clean[[#This Row],[DOB]], TODAY(), "Y")</f>
        <v>40</v>
      </c>
      <c r="P50">
        <f ca="1">DATEDIF(HRDataset_clean[[#This Row],[DateofHire]], IF(HRDataset_clean[[#This Row],[DateofTermination]]="", TODAY(),HRDataset_clean[[#This Row],[DateofTermination]]),"Y")</f>
        <v>13</v>
      </c>
    </row>
    <row r="51" spans="1:16" x14ac:dyDescent="0.35">
      <c r="A51" t="s">
        <v>431</v>
      </c>
      <c r="B51">
        <v>10275</v>
      </c>
      <c r="C51">
        <v>0</v>
      </c>
      <c r="D51" s="2">
        <v>64066</v>
      </c>
      <c r="E51" s="3" t="s">
        <v>341</v>
      </c>
      <c r="F51" s="1">
        <v>29829</v>
      </c>
      <c r="G51" t="s">
        <v>342</v>
      </c>
      <c r="H51" t="s">
        <v>329</v>
      </c>
      <c r="I51" s="1">
        <v>40679</v>
      </c>
      <c r="J51" s="1">
        <v>41281</v>
      </c>
      <c r="K51" t="s">
        <v>367</v>
      </c>
      <c r="L51" t="s">
        <v>337</v>
      </c>
      <c r="M51" t="s">
        <v>332</v>
      </c>
      <c r="N51" t="s">
        <v>359</v>
      </c>
      <c r="O51">
        <f ca="1">DATEDIF(HRDataset_clean[[#This Row],[DOB]], TODAY(), "Y")</f>
        <v>44</v>
      </c>
      <c r="P51">
        <f ca="1">DATEDIF(HRDataset_clean[[#This Row],[DateofHire]], IF(HRDataset_clean[[#This Row],[DateofTermination]]="", TODAY(),HRDataset_clean[[#This Row],[DateofTermination]]),"Y")</f>
        <v>1</v>
      </c>
    </row>
    <row r="52" spans="1:16" x14ac:dyDescent="0.35">
      <c r="A52" t="s">
        <v>432</v>
      </c>
      <c r="B52">
        <v>10269</v>
      </c>
      <c r="C52">
        <v>1</v>
      </c>
      <c r="D52" s="2">
        <v>59369</v>
      </c>
      <c r="E52" s="3" t="s">
        <v>341</v>
      </c>
      <c r="F52" s="1">
        <v>28819</v>
      </c>
      <c r="G52" t="s">
        <v>328</v>
      </c>
      <c r="H52" t="s">
        <v>329</v>
      </c>
      <c r="I52" s="1">
        <v>40420</v>
      </c>
      <c r="J52" s="1">
        <v>40812</v>
      </c>
      <c r="K52" t="s">
        <v>336</v>
      </c>
      <c r="L52" t="s">
        <v>337</v>
      </c>
      <c r="M52" t="s">
        <v>332</v>
      </c>
      <c r="N52" t="s">
        <v>365</v>
      </c>
      <c r="O52">
        <f ca="1">DATEDIF(HRDataset_clean[[#This Row],[DOB]], TODAY(), "Y")</f>
        <v>47</v>
      </c>
      <c r="P52">
        <f ca="1">DATEDIF(HRDataset_clean[[#This Row],[DateofHire]], IF(HRDataset_clean[[#This Row],[DateofTermination]]="", TODAY(),HRDataset_clean[[#This Row],[DateofTermination]]),"Y")</f>
        <v>1</v>
      </c>
    </row>
    <row r="53" spans="1:16" x14ac:dyDescent="0.35">
      <c r="A53" t="s">
        <v>433</v>
      </c>
      <c r="B53">
        <v>10029</v>
      </c>
      <c r="C53">
        <v>1</v>
      </c>
      <c r="D53" s="2">
        <v>50373</v>
      </c>
      <c r="E53" s="3" t="s">
        <v>327</v>
      </c>
      <c r="F53" s="1">
        <v>29459</v>
      </c>
      <c r="G53" t="s">
        <v>328</v>
      </c>
      <c r="H53" t="s">
        <v>329</v>
      </c>
      <c r="I53" s="1">
        <v>42557</v>
      </c>
      <c r="K53" t="s">
        <v>330</v>
      </c>
      <c r="L53" t="s">
        <v>331</v>
      </c>
      <c r="M53" t="s">
        <v>332</v>
      </c>
      <c r="N53" t="s">
        <v>359</v>
      </c>
      <c r="O53">
        <f ca="1">DATEDIF(HRDataset_clean[[#This Row],[DOB]], TODAY(), "Y")</f>
        <v>45</v>
      </c>
      <c r="P53">
        <f ca="1">DATEDIF(HRDataset_clean[[#This Row],[DateofHire]], IF(HRDataset_clean[[#This Row],[DateofTermination]]="", TODAY(),HRDataset_clean[[#This Row],[DateofTermination]]),"Y")</f>
        <v>9</v>
      </c>
    </row>
    <row r="54" spans="1:16" x14ac:dyDescent="0.35">
      <c r="A54" t="s">
        <v>434</v>
      </c>
      <c r="B54">
        <v>10261</v>
      </c>
      <c r="C54">
        <v>1</v>
      </c>
      <c r="D54" s="2">
        <v>63108</v>
      </c>
      <c r="E54" s="3" t="s">
        <v>327</v>
      </c>
      <c r="F54" s="1">
        <v>28376</v>
      </c>
      <c r="G54" t="s">
        <v>328</v>
      </c>
      <c r="H54" t="s">
        <v>329</v>
      </c>
      <c r="I54" s="1">
        <v>41463</v>
      </c>
      <c r="K54" t="s">
        <v>330</v>
      </c>
      <c r="L54" t="s">
        <v>331</v>
      </c>
      <c r="M54" t="s">
        <v>332</v>
      </c>
      <c r="N54" t="s">
        <v>365</v>
      </c>
      <c r="O54">
        <f ca="1">DATEDIF(HRDataset_clean[[#This Row],[DOB]], TODAY(), "Y")</f>
        <v>48</v>
      </c>
      <c r="P54">
        <f ca="1">DATEDIF(HRDataset_clean[[#This Row],[DateofHire]], IF(HRDataset_clean[[#This Row],[DateofTermination]]="", TODAY(),HRDataset_clean[[#This Row],[DateofTermination]]),"Y")</f>
        <v>12</v>
      </c>
    </row>
    <row r="55" spans="1:16" x14ac:dyDescent="0.35">
      <c r="A55" t="s">
        <v>435</v>
      </c>
      <c r="B55">
        <v>10292</v>
      </c>
      <c r="C55">
        <v>1</v>
      </c>
      <c r="D55" s="2">
        <v>59144</v>
      </c>
      <c r="E55" s="3" t="s">
        <v>327</v>
      </c>
      <c r="F55" s="1">
        <v>29079</v>
      </c>
      <c r="G55" t="s">
        <v>328</v>
      </c>
      <c r="H55" t="s">
        <v>329</v>
      </c>
      <c r="I55" s="1">
        <v>40735</v>
      </c>
      <c r="J55" s="1">
        <v>42636</v>
      </c>
      <c r="K55" t="s">
        <v>381</v>
      </c>
      <c r="L55" t="s">
        <v>375</v>
      </c>
      <c r="M55" t="s">
        <v>332</v>
      </c>
      <c r="N55" t="s">
        <v>344</v>
      </c>
      <c r="O55">
        <f ca="1">DATEDIF(HRDataset_clean[[#This Row],[DOB]], TODAY(), "Y")</f>
        <v>46</v>
      </c>
      <c r="P55">
        <f ca="1">DATEDIF(HRDataset_clean[[#This Row],[DateofHire]], IF(HRDataset_clean[[#This Row],[DateofTermination]]="", TODAY(),HRDataset_clean[[#This Row],[DateofTermination]]),"Y")</f>
        <v>5</v>
      </c>
    </row>
    <row r="56" spans="1:16" x14ac:dyDescent="0.35">
      <c r="A56" t="s">
        <v>436</v>
      </c>
      <c r="B56">
        <v>10282</v>
      </c>
      <c r="C56">
        <v>1</v>
      </c>
      <c r="D56" s="2">
        <v>68051</v>
      </c>
      <c r="E56" s="3" t="s">
        <v>396</v>
      </c>
      <c r="F56" s="1">
        <v>27745</v>
      </c>
      <c r="G56" t="s">
        <v>328</v>
      </c>
      <c r="H56" t="s">
        <v>329</v>
      </c>
      <c r="I56" s="1">
        <v>40379</v>
      </c>
      <c r="K56" t="s">
        <v>330</v>
      </c>
      <c r="L56" t="s">
        <v>331</v>
      </c>
      <c r="M56" t="s">
        <v>332</v>
      </c>
      <c r="N56" t="s">
        <v>398</v>
      </c>
      <c r="O56">
        <f ca="1">DATEDIF(HRDataset_clean[[#This Row],[DOB]], TODAY(), "Y")</f>
        <v>50</v>
      </c>
      <c r="P56">
        <f ca="1">DATEDIF(HRDataset_clean[[#This Row],[DateofHire]], IF(HRDataset_clean[[#This Row],[DateofTermination]]="", TODAY(),HRDataset_clean[[#This Row],[DateofTermination]]),"Y")</f>
        <v>15</v>
      </c>
    </row>
    <row r="57" spans="1:16" x14ac:dyDescent="0.35">
      <c r="A57" t="s">
        <v>437</v>
      </c>
      <c r="B57">
        <v>10019</v>
      </c>
      <c r="C57">
        <v>1</v>
      </c>
      <c r="D57" s="2">
        <v>170500</v>
      </c>
      <c r="E57" s="3" t="s">
        <v>438</v>
      </c>
      <c r="F57" s="1">
        <v>30394</v>
      </c>
      <c r="G57" t="s">
        <v>328</v>
      </c>
      <c r="H57" t="s">
        <v>329</v>
      </c>
      <c r="I57" s="1">
        <v>39818</v>
      </c>
      <c r="K57" t="s">
        <v>330</v>
      </c>
      <c r="L57" t="s">
        <v>331</v>
      </c>
      <c r="M57" t="s">
        <v>332</v>
      </c>
      <c r="N57" t="s">
        <v>398</v>
      </c>
      <c r="O57">
        <f ca="1">DATEDIF(HRDataset_clean[[#This Row],[DOB]], TODAY(), "Y")</f>
        <v>42</v>
      </c>
      <c r="P57">
        <f ca="1">DATEDIF(HRDataset_clean[[#This Row],[DateofHire]], IF(HRDataset_clean[[#This Row],[DateofTermination]]="", TODAY(),HRDataset_clean[[#This Row],[DateofTermination]]),"Y")</f>
        <v>16</v>
      </c>
    </row>
    <row r="58" spans="1:16" x14ac:dyDescent="0.35">
      <c r="A58" t="s">
        <v>439</v>
      </c>
      <c r="B58">
        <v>10094</v>
      </c>
      <c r="C58">
        <v>0</v>
      </c>
      <c r="D58" s="2">
        <v>63381</v>
      </c>
      <c r="E58" s="3" t="s">
        <v>327</v>
      </c>
      <c r="F58" s="1">
        <v>28215</v>
      </c>
      <c r="G58" t="s">
        <v>342</v>
      </c>
      <c r="H58" t="s">
        <v>329</v>
      </c>
      <c r="I58" s="1">
        <v>42009</v>
      </c>
      <c r="K58" t="s">
        <v>330</v>
      </c>
      <c r="L58" t="s">
        <v>331</v>
      </c>
      <c r="M58" t="s">
        <v>332</v>
      </c>
      <c r="N58" t="s">
        <v>371</v>
      </c>
      <c r="O58">
        <f ca="1">DATEDIF(HRDataset_clean[[#This Row],[DOB]], TODAY(), "Y")</f>
        <v>48</v>
      </c>
      <c r="P58">
        <f ca="1">DATEDIF(HRDataset_clean[[#This Row],[DateofHire]], IF(HRDataset_clean[[#This Row],[DateofTermination]]="", TODAY(),HRDataset_clean[[#This Row],[DateofTermination]]),"Y")</f>
        <v>10</v>
      </c>
    </row>
    <row r="59" spans="1:16" x14ac:dyDescent="0.35">
      <c r="A59" t="s">
        <v>440</v>
      </c>
      <c r="B59">
        <v>10193</v>
      </c>
      <c r="C59">
        <v>1</v>
      </c>
      <c r="D59" s="2">
        <v>83552</v>
      </c>
      <c r="E59" s="3" t="s">
        <v>369</v>
      </c>
      <c r="F59" s="1">
        <v>31650</v>
      </c>
      <c r="G59" t="s">
        <v>328</v>
      </c>
      <c r="H59" t="s">
        <v>329</v>
      </c>
      <c r="I59" s="1">
        <v>42093</v>
      </c>
      <c r="K59" t="s">
        <v>330</v>
      </c>
      <c r="L59" t="s">
        <v>331</v>
      </c>
      <c r="M59" t="s">
        <v>338</v>
      </c>
      <c r="N59" t="s">
        <v>339</v>
      </c>
      <c r="O59">
        <f ca="1">DATEDIF(HRDataset_clean[[#This Row],[DOB]], TODAY(), "Y")</f>
        <v>39</v>
      </c>
      <c r="P59">
        <f ca="1">DATEDIF(HRDataset_clean[[#This Row],[DateofHire]], IF(HRDataset_clean[[#This Row],[DateofTermination]]="", TODAY(),HRDataset_clean[[#This Row],[DateofTermination]]),"Y")</f>
        <v>10</v>
      </c>
    </row>
    <row r="60" spans="1:16" x14ac:dyDescent="0.35">
      <c r="A60" t="s">
        <v>441</v>
      </c>
      <c r="B60">
        <v>10132</v>
      </c>
      <c r="C60">
        <v>0</v>
      </c>
      <c r="D60" s="2">
        <v>56149</v>
      </c>
      <c r="E60" s="3" t="s">
        <v>327</v>
      </c>
      <c r="F60" s="1">
        <v>31877</v>
      </c>
      <c r="G60" t="s">
        <v>342</v>
      </c>
      <c r="H60" t="s">
        <v>329</v>
      </c>
      <c r="I60" s="1">
        <v>42557</v>
      </c>
      <c r="K60" t="s">
        <v>330</v>
      </c>
      <c r="L60" t="s">
        <v>331</v>
      </c>
      <c r="M60" t="s">
        <v>332</v>
      </c>
      <c r="N60" t="s">
        <v>333</v>
      </c>
      <c r="O60">
        <f ca="1">DATEDIF(HRDataset_clean[[#This Row],[DOB]], TODAY(), "Y")</f>
        <v>38</v>
      </c>
      <c r="P60">
        <f ca="1">DATEDIF(HRDataset_clean[[#This Row],[DateofHire]], IF(HRDataset_clean[[#This Row],[DateofTermination]]="", TODAY(),HRDataset_clean[[#This Row],[DateofTermination]]),"Y")</f>
        <v>9</v>
      </c>
    </row>
    <row r="61" spans="1:16" x14ac:dyDescent="0.35">
      <c r="A61" t="s">
        <v>442</v>
      </c>
      <c r="B61">
        <v>10083</v>
      </c>
      <c r="C61">
        <v>1</v>
      </c>
      <c r="D61" s="2">
        <v>92329</v>
      </c>
      <c r="E61" s="3" t="s">
        <v>443</v>
      </c>
      <c r="F61" s="1">
        <v>23994</v>
      </c>
      <c r="G61" t="s">
        <v>328</v>
      </c>
      <c r="H61" t="s">
        <v>329</v>
      </c>
      <c r="I61" s="1">
        <v>41953</v>
      </c>
      <c r="K61" t="s">
        <v>330</v>
      </c>
      <c r="L61" t="s">
        <v>331</v>
      </c>
      <c r="M61" t="s">
        <v>338</v>
      </c>
      <c r="N61" t="s">
        <v>362</v>
      </c>
      <c r="O61">
        <f ca="1">DATEDIF(HRDataset_clean[[#This Row],[DOB]], TODAY(), "Y")</f>
        <v>60</v>
      </c>
      <c r="P61">
        <f ca="1">DATEDIF(HRDataset_clean[[#This Row],[DateofHire]], IF(HRDataset_clean[[#This Row],[DateofTermination]]="", TODAY(),HRDataset_clean[[#This Row],[DateofTermination]]),"Y")</f>
        <v>11</v>
      </c>
    </row>
    <row r="62" spans="1:16" x14ac:dyDescent="0.35">
      <c r="A62" t="s">
        <v>444</v>
      </c>
      <c r="B62">
        <v>10099</v>
      </c>
      <c r="C62">
        <v>0</v>
      </c>
      <c r="D62" s="2">
        <v>65729</v>
      </c>
      <c r="E62" s="3" t="s">
        <v>445</v>
      </c>
      <c r="F62" s="1">
        <v>32982</v>
      </c>
      <c r="G62" t="s">
        <v>342</v>
      </c>
      <c r="H62" t="s">
        <v>329</v>
      </c>
      <c r="I62" s="1">
        <v>41764</v>
      </c>
      <c r="K62" t="s">
        <v>330</v>
      </c>
      <c r="L62" t="s">
        <v>331</v>
      </c>
      <c r="M62" t="s">
        <v>406</v>
      </c>
      <c r="N62" t="s">
        <v>446</v>
      </c>
      <c r="O62">
        <f ca="1">DATEDIF(HRDataset_clean[[#This Row],[DOB]], TODAY(), "Y")</f>
        <v>35</v>
      </c>
      <c r="P62">
        <f ca="1">DATEDIF(HRDataset_clean[[#This Row],[DateofHire]], IF(HRDataset_clean[[#This Row],[DateofTermination]]="", TODAY(),HRDataset_clean[[#This Row],[DateofTermination]]),"Y")</f>
        <v>11</v>
      </c>
    </row>
    <row r="63" spans="1:16" x14ac:dyDescent="0.35">
      <c r="A63" t="s">
        <v>447</v>
      </c>
      <c r="B63">
        <v>10212</v>
      </c>
      <c r="C63">
        <v>0</v>
      </c>
      <c r="D63" s="2">
        <v>85028</v>
      </c>
      <c r="E63" s="3" t="s">
        <v>443</v>
      </c>
      <c r="F63" s="1">
        <v>19011</v>
      </c>
      <c r="G63" t="s">
        <v>342</v>
      </c>
      <c r="H63" t="s">
        <v>329</v>
      </c>
      <c r="I63" s="1">
        <v>41953</v>
      </c>
      <c r="K63" t="s">
        <v>330</v>
      </c>
      <c r="L63" t="s">
        <v>331</v>
      </c>
      <c r="M63" t="s">
        <v>338</v>
      </c>
      <c r="N63" t="s">
        <v>362</v>
      </c>
      <c r="O63">
        <f ca="1">DATEDIF(HRDataset_clean[[#This Row],[DOB]], TODAY(), "Y")</f>
        <v>73</v>
      </c>
      <c r="P63">
        <f ca="1">DATEDIF(HRDataset_clean[[#This Row],[DateofHire]], IF(HRDataset_clean[[#This Row],[DateofTermination]]="", TODAY(),HRDataset_clean[[#This Row],[DateofTermination]]),"Y")</f>
        <v>11</v>
      </c>
    </row>
    <row r="64" spans="1:16" x14ac:dyDescent="0.35">
      <c r="A64" t="s">
        <v>448</v>
      </c>
      <c r="B64">
        <v>10056</v>
      </c>
      <c r="C64">
        <v>0</v>
      </c>
      <c r="D64" s="2">
        <v>57583</v>
      </c>
      <c r="E64" s="3" t="s">
        <v>327</v>
      </c>
      <c r="F64" s="1">
        <v>28799</v>
      </c>
      <c r="G64" t="s">
        <v>342</v>
      </c>
      <c r="H64" t="s">
        <v>329</v>
      </c>
      <c r="I64" s="1">
        <v>41092</v>
      </c>
      <c r="K64" t="s">
        <v>330</v>
      </c>
      <c r="L64" t="s">
        <v>331</v>
      </c>
      <c r="M64" t="s">
        <v>332</v>
      </c>
      <c r="N64" t="s">
        <v>346</v>
      </c>
      <c r="O64">
        <f ca="1">DATEDIF(HRDataset_clean[[#This Row],[DOB]], TODAY(), "Y")</f>
        <v>47</v>
      </c>
      <c r="P64">
        <f ca="1">DATEDIF(HRDataset_clean[[#This Row],[DateofHire]], IF(HRDataset_clean[[#This Row],[DateofTermination]]="", TODAY(),HRDataset_clean[[#This Row],[DateofTermination]]),"Y")</f>
        <v>13</v>
      </c>
    </row>
    <row r="65" spans="1:16" x14ac:dyDescent="0.35">
      <c r="A65" t="s">
        <v>449</v>
      </c>
      <c r="B65">
        <v>10143</v>
      </c>
      <c r="C65">
        <v>1</v>
      </c>
      <c r="D65" s="2">
        <v>56294</v>
      </c>
      <c r="E65" s="3" t="s">
        <v>341</v>
      </c>
      <c r="F65" s="1">
        <v>29112</v>
      </c>
      <c r="G65" t="s">
        <v>328</v>
      </c>
      <c r="H65" t="s">
        <v>378</v>
      </c>
      <c r="I65" s="1">
        <v>40854</v>
      </c>
      <c r="K65" t="s">
        <v>330</v>
      </c>
      <c r="L65" t="s">
        <v>331</v>
      </c>
      <c r="M65" t="s">
        <v>332</v>
      </c>
      <c r="N65" t="s">
        <v>344</v>
      </c>
      <c r="O65">
        <f ca="1">DATEDIF(HRDataset_clean[[#This Row],[DOB]], TODAY(), "Y")</f>
        <v>46</v>
      </c>
      <c r="P65">
        <f ca="1">DATEDIF(HRDataset_clean[[#This Row],[DateofHire]], IF(HRDataset_clean[[#This Row],[DateofTermination]]="", TODAY(),HRDataset_clean[[#This Row],[DateofTermination]]),"Y")</f>
        <v>14</v>
      </c>
    </row>
    <row r="66" spans="1:16" x14ac:dyDescent="0.35">
      <c r="A66" t="s">
        <v>450</v>
      </c>
      <c r="B66">
        <v>10311</v>
      </c>
      <c r="C66">
        <v>1</v>
      </c>
      <c r="D66" s="2">
        <v>56991</v>
      </c>
      <c r="E66" s="3" t="s">
        <v>327</v>
      </c>
      <c r="F66" s="1">
        <v>32248</v>
      </c>
      <c r="G66" t="s">
        <v>328</v>
      </c>
      <c r="H66" t="s">
        <v>329</v>
      </c>
      <c r="I66" s="1">
        <v>43290</v>
      </c>
      <c r="K66" t="s">
        <v>330</v>
      </c>
      <c r="L66" t="s">
        <v>331</v>
      </c>
      <c r="M66" t="s">
        <v>332</v>
      </c>
      <c r="N66" t="s">
        <v>359</v>
      </c>
      <c r="O66">
        <f ca="1">DATEDIF(HRDataset_clean[[#This Row],[DOB]], TODAY(), "Y")</f>
        <v>37</v>
      </c>
      <c r="P66">
        <f ca="1">DATEDIF(HRDataset_clean[[#This Row],[DateofHire]], IF(HRDataset_clean[[#This Row],[DateofTermination]]="", TODAY(),HRDataset_clean[[#This Row],[DateofTermination]]),"Y")</f>
        <v>7</v>
      </c>
    </row>
    <row r="67" spans="1:16" x14ac:dyDescent="0.35">
      <c r="A67" t="s">
        <v>451</v>
      </c>
      <c r="B67">
        <v>10070</v>
      </c>
      <c r="C67">
        <v>1</v>
      </c>
      <c r="D67" s="2">
        <v>55722</v>
      </c>
      <c r="E67" s="3" t="s">
        <v>327</v>
      </c>
      <c r="F67" s="1">
        <v>28429</v>
      </c>
      <c r="G67" t="s">
        <v>328</v>
      </c>
      <c r="H67" t="s">
        <v>329</v>
      </c>
      <c r="I67" s="1">
        <v>40679</v>
      </c>
      <c r="J67" s="1">
        <v>42529</v>
      </c>
      <c r="K67" t="s">
        <v>367</v>
      </c>
      <c r="L67" t="s">
        <v>337</v>
      </c>
      <c r="M67" t="s">
        <v>332</v>
      </c>
      <c r="N67" t="s">
        <v>349</v>
      </c>
      <c r="O67">
        <f ca="1">DATEDIF(HRDataset_clean[[#This Row],[DOB]], TODAY(), "Y")</f>
        <v>48</v>
      </c>
      <c r="P67">
        <f ca="1">DATEDIF(HRDataset_clean[[#This Row],[DateofHire]], IF(HRDataset_clean[[#This Row],[DateofTermination]]="", TODAY(),HRDataset_clean[[#This Row],[DateofTermination]]),"Y")</f>
        <v>5</v>
      </c>
    </row>
    <row r="68" spans="1:16" x14ac:dyDescent="0.35">
      <c r="A68" t="s">
        <v>452</v>
      </c>
      <c r="B68">
        <v>10155</v>
      </c>
      <c r="C68">
        <v>0</v>
      </c>
      <c r="D68" s="2">
        <v>101199</v>
      </c>
      <c r="E68" s="3" t="s">
        <v>353</v>
      </c>
      <c r="F68" s="1">
        <v>29041</v>
      </c>
      <c r="G68" t="s">
        <v>342</v>
      </c>
      <c r="H68" t="s">
        <v>329</v>
      </c>
      <c r="I68" s="1">
        <v>40917</v>
      </c>
      <c r="K68" t="s">
        <v>330</v>
      </c>
      <c r="L68" t="s">
        <v>331</v>
      </c>
      <c r="M68" t="s">
        <v>354</v>
      </c>
      <c r="N68" t="s">
        <v>355</v>
      </c>
      <c r="O68">
        <f ca="1">DATEDIF(HRDataset_clean[[#This Row],[DOB]], TODAY(), "Y")</f>
        <v>46</v>
      </c>
      <c r="P68">
        <f ca="1">DATEDIF(HRDataset_clean[[#This Row],[DateofHire]], IF(HRDataset_clean[[#This Row],[DateofTermination]]="", TODAY(),HRDataset_clean[[#This Row],[DateofTermination]]),"Y")</f>
        <v>13</v>
      </c>
    </row>
    <row r="69" spans="1:16" x14ac:dyDescent="0.35">
      <c r="A69" t="s">
        <v>453</v>
      </c>
      <c r="B69">
        <v>10306</v>
      </c>
      <c r="C69">
        <v>1</v>
      </c>
      <c r="D69" s="2">
        <v>61568</v>
      </c>
      <c r="E69" s="3" t="s">
        <v>405</v>
      </c>
      <c r="F69" s="1">
        <v>27700</v>
      </c>
      <c r="G69" t="s">
        <v>328</v>
      </c>
      <c r="H69" t="s">
        <v>329</v>
      </c>
      <c r="I69" s="1">
        <v>41911</v>
      </c>
      <c r="K69" t="s">
        <v>330</v>
      </c>
      <c r="L69" t="s">
        <v>331</v>
      </c>
      <c r="M69" t="s">
        <v>406</v>
      </c>
      <c r="N69" t="s">
        <v>407</v>
      </c>
      <c r="O69">
        <f ca="1">DATEDIF(HRDataset_clean[[#This Row],[DOB]], TODAY(), "Y")</f>
        <v>50</v>
      </c>
      <c r="P69">
        <f ca="1">DATEDIF(HRDataset_clean[[#This Row],[DateofHire]], IF(HRDataset_clean[[#This Row],[DateofTermination]]="", TODAY(),HRDataset_clean[[#This Row],[DateofTermination]]),"Y")</f>
        <v>11</v>
      </c>
    </row>
    <row r="70" spans="1:16" x14ac:dyDescent="0.35">
      <c r="A70" t="s">
        <v>454</v>
      </c>
      <c r="B70">
        <v>10100</v>
      </c>
      <c r="C70">
        <v>0</v>
      </c>
      <c r="D70" s="2">
        <v>58275</v>
      </c>
      <c r="E70" s="3" t="s">
        <v>341</v>
      </c>
      <c r="F70" s="1">
        <v>18684</v>
      </c>
      <c r="G70" t="s">
        <v>342</v>
      </c>
      <c r="H70" t="s">
        <v>329</v>
      </c>
      <c r="I70" s="1">
        <v>40637</v>
      </c>
      <c r="J70" s="1">
        <v>42312</v>
      </c>
      <c r="K70" t="s">
        <v>455</v>
      </c>
      <c r="L70" t="s">
        <v>337</v>
      </c>
      <c r="M70" t="s">
        <v>332</v>
      </c>
      <c r="N70" t="s">
        <v>371</v>
      </c>
      <c r="O70">
        <f ca="1">DATEDIF(HRDataset_clean[[#This Row],[DOB]], TODAY(), "Y")</f>
        <v>74</v>
      </c>
      <c r="P70">
        <f ca="1">DATEDIF(HRDataset_clean[[#This Row],[DateofHire]], IF(HRDataset_clean[[#This Row],[DateofTermination]]="", TODAY(),HRDataset_clean[[#This Row],[DateofTermination]]),"Y")</f>
        <v>4</v>
      </c>
    </row>
    <row r="71" spans="1:16" x14ac:dyDescent="0.35">
      <c r="A71" t="s">
        <v>456</v>
      </c>
      <c r="B71">
        <v>10310</v>
      </c>
      <c r="C71">
        <v>1</v>
      </c>
      <c r="D71" s="2">
        <v>53189</v>
      </c>
      <c r="E71" s="3" t="s">
        <v>327</v>
      </c>
      <c r="F71" s="1">
        <v>24581</v>
      </c>
      <c r="G71" t="s">
        <v>328</v>
      </c>
      <c r="H71" t="s">
        <v>329</v>
      </c>
      <c r="I71" s="1">
        <v>41827</v>
      </c>
      <c r="K71" t="s">
        <v>330</v>
      </c>
      <c r="L71" t="s">
        <v>331</v>
      </c>
      <c r="M71" t="s">
        <v>332</v>
      </c>
      <c r="N71" t="s">
        <v>351</v>
      </c>
      <c r="O71">
        <f ca="1">DATEDIF(HRDataset_clean[[#This Row],[DOB]], TODAY(), "Y")</f>
        <v>58</v>
      </c>
      <c r="P71">
        <f ca="1">DATEDIF(HRDataset_clean[[#This Row],[DateofHire]], IF(HRDataset_clean[[#This Row],[DateofTermination]]="", TODAY(),HRDataset_clean[[#This Row],[DateofTermination]]),"Y")</f>
        <v>11</v>
      </c>
    </row>
    <row r="72" spans="1:16" x14ac:dyDescent="0.35">
      <c r="A72" t="s">
        <v>457</v>
      </c>
      <c r="B72">
        <v>10197</v>
      </c>
      <c r="C72">
        <v>1</v>
      </c>
      <c r="D72" s="2">
        <v>96820</v>
      </c>
      <c r="E72" s="3" t="s">
        <v>458</v>
      </c>
      <c r="F72" s="1">
        <v>30563</v>
      </c>
      <c r="G72" t="s">
        <v>328</v>
      </c>
      <c r="H72" t="s">
        <v>329</v>
      </c>
      <c r="I72" s="1">
        <v>42781</v>
      </c>
      <c r="K72" t="s">
        <v>330</v>
      </c>
      <c r="L72" t="s">
        <v>331</v>
      </c>
      <c r="M72" t="s">
        <v>338</v>
      </c>
      <c r="N72" t="s">
        <v>459</v>
      </c>
      <c r="O72">
        <f ca="1">DATEDIF(HRDataset_clean[[#This Row],[DOB]], TODAY(), "Y")</f>
        <v>42</v>
      </c>
      <c r="P72">
        <f ca="1">DATEDIF(HRDataset_clean[[#This Row],[DateofHire]], IF(HRDataset_clean[[#This Row],[DateofTermination]]="", TODAY(),HRDataset_clean[[#This Row],[DateofTermination]]),"Y")</f>
        <v>8</v>
      </c>
    </row>
    <row r="73" spans="1:16" x14ac:dyDescent="0.35">
      <c r="A73" t="s">
        <v>460</v>
      </c>
      <c r="B73">
        <v>10276</v>
      </c>
      <c r="C73">
        <v>1</v>
      </c>
      <c r="D73" s="2">
        <v>51259</v>
      </c>
      <c r="E73" s="3" t="s">
        <v>327</v>
      </c>
      <c r="F73" s="1">
        <v>30270</v>
      </c>
      <c r="G73" t="s">
        <v>328</v>
      </c>
      <c r="H73" t="s">
        <v>329</v>
      </c>
      <c r="I73" s="1">
        <v>41771</v>
      </c>
      <c r="K73" t="s">
        <v>330</v>
      </c>
      <c r="L73" t="s">
        <v>331</v>
      </c>
      <c r="M73" t="s">
        <v>332</v>
      </c>
      <c r="N73" t="s">
        <v>357</v>
      </c>
      <c r="O73">
        <f ca="1">DATEDIF(HRDataset_clean[[#This Row],[DOB]], TODAY(), "Y")</f>
        <v>43</v>
      </c>
      <c r="P73">
        <f ca="1">DATEDIF(HRDataset_clean[[#This Row],[DateofHire]], IF(HRDataset_clean[[#This Row],[DateofTermination]]="", TODAY(),HRDataset_clean[[#This Row],[DateofTermination]]),"Y")</f>
        <v>11</v>
      </c>
    </row>
    <row r="74" spans="1:16" x14ac:dyDescent="0.35">
      <c r="A74" t="s">
        <v>461</v>
      </c>
      <c r="B74">
        <v>10304</v>
      </c>
      <c r="C74">
        <v>0</v>
      </c>
      <c r="D74" s="2">
        <v>59231</v>
      </c>
      <c r="E74" s="3" t="s">
        <v>405</v>
      </c>
      <c r="F74" s="1">
        <v>31911</v>
      </c>
      <c r="G74" t="s">
        <v>342</v>
      </c>
      <c r="H74" t="s">
        <v>329</v>
      </c>
      <c r="I74" s="1">
        <v>40959</v>
      </c>
      <c r="K74" t="s">
        <v>330</v>
      </c>
      <c r="L74" t="s">
        <v>331</v>
      </c>
      <c r="M74" t="s">
        <v>406</v>
      </c>
      <c r="N74" t="s">
        <v>407</v>
      </c>
      <c r="O74">
        <f ca="1">DATEDIF(HRDataset_clean[[#This Row],[DOB]], TODAY(), "Y")</f>
        <v>38</v>
      </c>
      <c r="P74">
        <f ca="1">DATEDIF(HRDataset_clean[[#This Row],[DateofHire]], IF(HRDataset_clean[[#This Row],[DateofTermination]]="", TODAY(),HRDataset_clean[[#This Row],[DateofTermination]]),"Y")</f>
        <v>13</v>
      </c>
    </row>
    <row r="75" spans="1:16" x14ac:dyDescent="0.35">
      <c r="A75" t="s">
        <v>462</v>
      </c>
      <c r="B75">
        <v>10284</v>
      </c>
      <c r="C75">
        <v>0</v>
      </c>
      <c r="D75" s="2">
        <v>61584</v>
      </c>
      <c r="E75" s="3" t="s">
        <v>327</v>
      </c>
      <c r="F75" s="1">
        <v>28826</v>
      </c>
      <c r="G75" t="s">
        <v>342</v>
      </c>
      <c r="H75" t="s">
        <v>329</v>
      </c>
      <c r="I75" s="1">
        <v>41281</v>
      </c>
      <c r="K75" t="s">
        <v>330</v>
      </c>
      <c r="L75" t="s">
        <v>331</v>
      </c>
      <c r="M75" t="s">
        <v>332</v>
      </c>
      <c r="N75" t="s">
        <v>359</v>
      </c>
      <c r="O75">
        <f ca="1">DATEDIF(HRDataset_clean[[#This Row],[DOB]], TODAY(), "Y")</f>
        <v>47</v>
      </c>
      <c r="P75">
        <f ca="1">DATEDIF(HRDataset_clean[[#This Row],[DateofHire]], IF(HRDataset_clean[[#This Row],[DateofTermination]]="", TODAY(),HRDataset_clean[[#This Row],[DateofTermination]]),"Y")</f>
        <v>12</v>
      </c>
    </row>
    <row r="76" spans="1:16" x14ac:dyDescent="0.35">
      <c r="A76" t="s">
        <v>463</v>
      </c>
      <c r="B76">
        <v>10207</v>
      </c>
      <c r="C76">
        <v>0</v>
      </c>
      <c r="D76" s="2">
        <v>46335</v>
      </c>
      <c r="E76" s="3" t="s">
        <v>327</v>
      </c>
      <c r="F76" s="1">
        <v>31692</v>
      </c>
      <c r="G76" t="s">
        <v>342</v>
      </c>
      <c r="H76" t="s">
        <v>329</v>
      </c>
      <c r="I76" s="1">
        <v>41001</v>
      </c>
      <c r="K76" t="s">
        <v>330</v>
      </c>
      <c r="L76" t="s">
        <v>331</v>
      </c>
      <c r="M76" t="s">
        <v>332</v>
      </c>
      <c r="N76" t="s">
        <v>365</v>
      </c>
      <c r="O76">
        <f ca="1">DATEDIF(HRDataset_clean[[#This Row],[DOB]], TODAY(), "Y")</f>
        <v>39</v>
      </c>
      <c r="P76">
        <f ca="1">DATEDIF(HRDataset_clean[[#This Row],[DateofHire]], IF(HRDataset_clean[[#This Row],[DateofTermination]]="", TODAY(),HRDataset_clean[[#This Row],[DateofTermination]]),"Y")</f>
        <v>13</v>
      </c>
    </row>
    <row r="77" spans="1:16" x14ac:dyDescent="0.35">
      <c r="A77" t="s">
        <v>464</v>
      </c>
      <c r="B77">
        <v>10133</v>
      </c>
      <c r="C77">
        <v>0</v>
      </c>
      <c r="D77" s="2">
        <v>70621</v>
      </c>
      <c r="E77" s="3" t="s">
        <v>361</v>
      </c>
      <c r="F77" s="1">
        <v>32342</v>
      </c>
      <c r="G77" t="s">
        <v>342</v>
      </c>
      <c r="H77" t="s">
        <v>329</v>
      </c>
      <c r="I77" s="1">
        <v>42009</v>
      </c>
      <c r="K77" t="s">
        <v>330</v>
      </c>
      <c r="L77" t="s">
        <v>331</v>
      </c>
      <c r="M77" t="s">
        <v>338</v>
      </c>
      <c r="N77" t="s">
        <v>362</v>
      </c>
      <c r="O77">
        <f ca="1">DATEDIF(HRDataset_clean[[#This Row],[DOB]], TODAY(), "Y")</f>
        <v>37</v>
      </c>
      <c r="P77">
        <f ca="1">DATEDIF(HRDataset_clean[[#This Row],[DateofHire]], IF(HRDataset_clean[[#This Row],[DateofTermination]]="", TODAY(),HRDataset_clean[[#This Row],[DateofTermination]]),"Y")</f>
        <v>10</v>
      </c>
    </row>
    <row r="78" spans="1:16" x14ac:dyDescent="0.35">
      <c r="A78" t="s">
        <v>465</v>
      </c>
      <c r="B78">
        <v>10028</v>
      </c>
      <c r="C78">
        <v>1</v>
      </c>
      <c r="D78" s="2">
        <v>138888</v>
      </c>
      <c r="E78" s="3" t="s">
        <v>466</v>
      </c>
      <c r="F78" s="1">
        <v>25758</v>
      </c>
      <c r="G78" t="s">
        <v>328</v>
      </c>
      <c r="H78" t="s">
        <v>329</v>
      </c>
      <c r="I78" s="1">
        <v>41644</v>
      </c>
      <c r="K78" t="s">
        <v>330</v>
      </c>
      <c r="L78" t="s">
        <v>331</v>
      </c>
      <c r="M78" t="s">
        <v>338</v>
      </c>
      <c r="N78" t="s">
        <v>412</v>
      </c>
      <c r="O78">
        <f ca="1">DATEDIF(HRDataset_clean[[#This Row],[DOB]], TODAY(), "Y")</f>
        <v>55</v>
      </c>
      <c r="P78">
        <f ca="1">DATEDIF(HRDataset_clean[[#This Row],[DateofHire]], IF(HRDataset_clean[[#This Row],[DateofTermination]]="", TODAY(),HRDataset_clean[[#This Row],[DateofTermination]]),"Y")</f>
        <v>11</v>
      </c>
    </row>
    <row r="79" spans="1:16" x14ac:dyDescent="0.35">
      <c r="A79" t="s">
        <v>467</v>
      </c>
      <c r="B79">
        <v>10006</v>
      </c>
      <c r="C79">
        <v>0</v>
      </c>
      <c r="D79" s="2">
        <v>74241</v>
      </c>
      <c r="E79" s="3" t="s">
        <v>405</v>
      </c>
      <c r="F79" s="1">
        <v>32455</v>
      </c>
      <c r="G79" t="s">
        <v>342</v>
      </c>
      <c r="H79" t="s">
        <v>329</v>
      </c>
      <c r="I79" s="1">
        <v>40553</v>
      </c>
      <c r="K79" t="s">
        <v>330</v>
      </c>
      <c r="L79" t="s">
        <v>331</v>
      </c>
      <c r="M79" t="s">
        <v>406</v>
      </c>
      <c r="N79" t="s">
        <v>424</v>
      </c>
      <c r="O79">
        <f ca="1">DATEDIF(HRDataset_clean[[#This Row],[DOB]], TODAY(), "Y")</f>
        <v>37</v>
      </c>
      <c r="P79">
        <f ca="1">DATEDIF(HRDataset_clean[[#This Row],[DateofHire]], IF(HRDataset_clean[[#This Row],[DateofTermination]]="", TODAY(),HRDataset_clean[[#This Row],[DateofTermination]]),"Y")</f>
        <v>14</v>
      </c>
    </row>
    <row r="80" spans="1:16" x14ac:dyDescent="0.35">
      <c r="A80" t="s">
        <v>468</v>
      </c>
      <c r="B80">
        <v>10105</v>
      </c>
      <c r="C80">
        <v>0</v>
      </c>
      <c r="D80" s="2">
        <v>75188</v>
      </c>
      <c r="E80" s="3" t="s">
        <v>396</v>
      </c>
      <c r="F80" s="1">
        <v>26996</v>
      </c>
      <c r="G80" t="s">
        <v>342</v>
      </c>
      <c r="H80" t="s">
        <v>329</v>
      </c>
      <c r="I80" s="1">
        <v>41900</v>
      </c>
      <c r="K80" t="s">
        <v>330</v>
      </c>
      <c r="L80" t="s">
        <v>331</v>
      </c>
      <c r="M80" t="s">
        <v>332</v>
      </c>
      <c r="N80" t="s">
        <v>398</v>
      </c>
      <c r="O80">
        <f ca="1">DATEDIF(HRDataset_clean[[#This Row],[DOB]], TODAY(), "Y")</f>
        <v>52</v>
      </c>
      <c r="P80">
        <f ca="1">DATEDIF(HRDataset_clean[[#This Row],[DateofHire]], IF(HRDataset_clean[[#This Row],[DateofTermination]]="", TODAY(),HRDataset_clean[[#This Row],[DateofTermination]]),"Y")</f>
        <v>11</v>
      </c>
    </row>
    <row r="81" spans="1:16" x14ac:dyDescent="0.35">
      <c r="A81" t="s">
        <v>469</v>
      </c>
      <c r="B81">
        <v>10211</v>
      </c>
      <c r="C81">
        <v>0</v>
      </c>
      <c r="D81" s="2">
        <v>62514</v>
      </c>
      <c r="E81" s="3" t="s">
        <v>327</v>
      </c>
      <c r="F81" s="1">
        <v>26930</v>
      </c>
      <c r="G81" t="s">
        <v>342</v>
      </c>
      <c r="H81" t="s">
        <v>329</v>
      </c>
      <c r="I81" s="1">
        <v>40294</v>
      </c>
      <c r="K81" t="s">
        <v>330</v>
      </c>
      <c r="L81" t="s">
        <v>331</v>
      </c>
      <c r="M81" t="s">
        <v>332</v>
      </c>
      <c r="N81" t="s">
        <v>357</v>
      </c>
      <c r="O81">
        <f ca="1">DATEDIF(HRDataset_clean[[#This Row],[DOB]], TODAY(), "Y")</f>
        <v>52</v>
      </c>
      <c r="P81">
        <f ca="1">DATEDIF(HRDataset_clean[[#This Row],[DateofHire]], IF(HRDataset_clean[[#This Row],[DateofTermination]]="", TODAY(),HRDataset_clean[[#This Row],[DateofTermination]]),"Y")</f>
        <v>15</v>
      </c>
    </row>
    <row r="82" spans="1:16" x14ac:dyDescent="0.35">
      <c r="A82" t="s">
        <v>470</v>
      </c>
      <c r="B82">
        <v>10064</v>
      </c>
      <c r="C82">
        <v>0</v>
      </c>
      <c r="D82" s="2">
        <v>60070</v>
      </c>
      <c r="E82" s="3" t="s">
        <v>327</v>
      </c>
      <c r="F82" s="1">
        <v>33486</v>
      </c>
      <c r="G82" t="s">
        <v>342</v>
      </c>
      <c r="H82" t="s">
        <v>329</v>
      </c>
      <c r="I82" s="1">
        <v>40637</v>
      </c>
      <c r="J82" s="1">
        <v>42892</v>
      </c>
      <c r="K82" t="s">
        <v>471</v>
      </c>
      <c r="L82" t="s">
        <v>337</v>
      </c>
      <c r="M82" t="s">
        <v>332</v>
      </c>
      <c r="N82" t="s">
        <v>344</v>
      </c>
      <c r="O82">
        <f ca="1">DATEDIF(HRDataset_clean[[#This Row],[DOB]], TODAY(), "Y")</f>
        <v>34</v>
      </c>
      <c r="P82">
        <f ca="1">DATEDIF(HRDataset_clean[[#This Row],[DateofHire]], IF(HRDataset_clean[[#This Row],[DateofTermination]]="", TODAY(),HRDataset_clean[[#This Row],[DateofTermination]]),"Y")</f>
        <v>6</v>
      </c>
    </row>
    <row r="83" spans="1:16" x14ac:dyDescent="0.35">
      <c r="A83" t="s">
        <v>472</v>
      </c>
      <c r="B83">
        <v>10247</v>
      </c>
      <c r="C83">
        <v>1</v>
      </c>
      <c r="D83" s="2">
        <v>48888</v>
      </c>
      <c r="E83" s="3" t="s">
        <v>327</v>
      </c>
      <c r="F83" s="1">
        <v>27180</v>
      </c>
      <c r="G83" t="s">
        <v>328</v>
      </c>
      <c r="H83" t="s">
        <v>329</v>
      </c>
      <c r="I83" s="1">
        <v>41953</v>
      </c>
      <c r="K83" t="s">
        <v>330</v>
      </c>
      <c r="L83" t="s">
        <v>331</v>
      </c>
      <c r="M83" t="s">
        <v>332</v>
      </c>
      <c r="N83" t="s">
        <v>371</v>
      </c>
      <c r="O83">
        <f ca="1">DATEDIF(HRDataset_clean[[#This Row],[DOB]], TODAY(), "Y")</f>
        <v>51</v>
      </c>
      <c r="P83">
        <f ca="1">DATEDIF(HRDataset_clean[[#This Row],[DateofHire]], IF(HRDataset_clean[[#This Row],[DateofTermination]]="", TODAY(),HRDataset_clean[[#This Row],[DateofTermination]]),"Y")</f>
        <v>11</v>
      </c>
    </row>
    <row r="84" spans="1:16" x14ac:dyDescent="0.35">
      <c r="A84" t="s">
        <v>473</v>
      </c>
      <c r="B84">
        <v>10235</v>
      </c>
      <c r="C84">
        <v>1</v>
      </c>
      <c r="D84" s="2">
        <v>54285</v>
      </c>
      <c r="E84" s="3" t="s">
        <v>327</v>
      </c>
      <c r="F84" s="1">
        <v>28727</v>
      </c>
      <c r="G84" t="s">
        <v>328</v>
      </c>
      <c r="H84" t="s">
        <v>329</v>
      </c>
      <c r="I84" s="1">
        <v>41729</v>
      </c>
      <c r="K84" t="s">
        <v>330</v>
      </c>
      <c r="L84" t="s">
        <v>331</v>
      </c>
      <c r="M84" t="s">
        <v>332</v>
      </c>
      <c r="N84" t="s">
        <v>371</v>
      </c>
      <c r="O84">
        <f ca="1">DATEDIF(HRDataset_clean[[#This Row],[DOB]], TODAY(), "Y")</f>
        <v>47</v>
      </c>
      <c r="P84">
        <f ca="1">DATEDIF(HRDataset_clean[[#This Row],[DateofHire]], IF(HRDataset_clean[[#This Row],[DateofTermination]]="", TODAY(),HRDataset_clean[[#This Row],[DateofTermination]]),"Y")</f>
        <v>11</v>
      </c>
    </row>
    <row r="85" spans="1:16" x14ac:dyDescent="0.35">
      <c r="A85" t="s">
        <v>474</v>
      </c>
      <c r="B85">
        <v>10299</v>
      </c>
      <c r="C85">
        <v>0</v>
      </c>
      <c r="D85" s="2">
        <v>56847</v>
      </c>
      <c r="E85" s="3" t="s">
        <v>341</v>
      </c>
      <c r="F85" s="1">
        <v>32745</v>
      </c>
      <c r="G85" t="s">
        <v>342</v>
      </c>
      <c r="H85" t="s">
        <v>329</v>
      </c>
      <c r="I85" s="1">
        <v>41827</v>
      </c>
      <c r="K85" t="s">
        <v>330</v>
      </c>
      <c r="L85" t="s">
        <v>331</v>
      </c>
      <c r="M85" t="s">
        <v>332</v>
      </c>
      <c r="N85" t="s">
        <v>333</v>
      </c>
      <c r="O85">
        <f ca="1">DATEDIF(HRDataset_clean[[#This Row],[DOB]], TODAY(), "Y")</f>
        <v>36</v>
      </c>
      <c r="P85">
        <f ca="1">DATEDIF(HRDataset_clean[[#This Row],[DateofHire]], IF(HRDataset_clean[[#This Row],[DateofTermination]]="", TODAY(),HRDataset_clean[[#This Row],[DateofTermination]]),"Y")</f>
        <v>11</v>
      </c>
    </row>
    <row r="86" spans="1:16" x14ac:dyDescent="0.35">
      <c r="A86" t="s">
        <v>475</v>
      </c>
      <c r="B86">
        <v>10280</v>
      </c>
      <c r="C86">
        <v>1</v>
      </c>
      <c r="D86" s="2">
        <v>60340</v>
      </c>
      <c r="E86" s="3" t="s">
        <v>327</v>
      </c>
      <c r="F86" s="1">
        <v>30561</v>
      </c>
      <c r="G86" t="s">
        <v>328</v>
      </c>
      <c r="H86" t="s">
        <v>329</v>
      </c>
      <c r="I86" s="1">
        <v>41001</v>
      </c>
      <c r="J86" s="1">
        <v>43370</v>
      </c>
      <c r="K86" t="s">
        <v>374</v>
      </c>
      <c r="L86" t="s">
        <v>375</v>
      </c>
      <c r="M86" t="s">
        <v>332</v>
      </c>
      <c r="N86" t="s">
        <v>333</v>
      </c>
      <c r="O86">
        <f ca="1">DATEDIF(HRDataset_clean[[#This Row],[DOB]], TODAY(), "Y")</f>
        <v>42</v>
      </c>
      <c r="P86">
        <f ca="1">DATEDIF(HRDataset_clean[[#This Row],[DateofHire]], IF(HRDataset_clean[[#This Row],[DateofTermination]]="", TODAY(),HRDataset_clean[[#This Row],[DateofTermination]]),"Y")</f>
        <v>6</v>
      </c>
    </row>
    <row r="87" spans="1:16" x14ac:dyDescent="0.35">
      <c r="A87" t="s">
        <v>476</v>
      </c>
      <c r="B87">
        <v>10296</v>
      </c>
      <c r="C87">
        <v>0</v>
      </c>
      <c r="D87" s="2">
        <v>59124</v>
      </c>
      <c r="E87" s="3" t="s">
        <v>327</v>
      </c>
      <c r="F87" s="1">
        <v>32634</v>
      </c>
      <c r="G87" t="s">
        <v>342</v>
      </c>
      <c r="H87" t="s">
        <v>329</v>
      </c>
      <c r="I87" s="1">
        <v>41687</v>
      </c>
      <c r="J87" s="1">
        <v>43156</v>
      </c>
      <c r="K87" t="s">
        <v>477</v>
      </c>
      <c r="L87" t="s">
        <v>375</v>
      </c>
      <c r="M87" t="s">
        <v>332</v>
      </c>
      <c r="N87" t="s">
        <v>346</v>
      </c>
      <c r="O87">
        <f ca="1">DATEDIF(HRDataset_clean[[#This Row],[DOB]], TODAY(), "Y")</f>
        <v>36</v>
      </c>
      <c r="P87">
        <f ca="1">DATEDIF(HRDataset_clean[[#This Row],[DateofHire]], IF(HRDataset_clean[[#This Row],[DateofTermination]]="", TODAY(),HRDataset_clean[[#This Row],[DateofTermination]]),"Y")</f>
        <v>4</v>
      </c>
    </row>
    <row r="88" spans="1:16" x14ac:dyDescent="0.35">
      <c r="A88" t="s">
        <v>478</v>
      </c>
      <c r="B88">
        <v>10290</v>
      </c>
      <c r="C88">
        <v>0</v>
      </c>
      <c r="D88" s="2">
        <v>99280</v>
      </c>
      <c r="E88" s="3" t="s">
        <v>353</v>
      </c>
      <c r="F88" s="1">
        <v>31912</v>
      </c>
      <c r="G88" t="s">
        <v>342</v>
      </c>
      <c r="H88" t="s">
        <v>329</v>
      </c>
      <c r="I88" s="1">
        <v>40665</v>
      </c>
      <c r="J88" s="1">
        <v>41430</v>
      </c>
      <c r="K88" t="s">
        <v>374</v>
      </c>
      <c r="L88" t="s">
        <v>375</v>
      </c>
      <c r="M88" t="s">
        <v>354</v>
      </c>
      <c r="N88" t="s">
        <v>355</v>
      </c>
      <c r="O88">
        <f ca="1">DATEDIF(HRDataset_clean[[#This Row],[DOB]], TODAY(), "Y")</f>
        <v>38</v>
      </c>
      <c r="P88">
        <f ca="1">DATEDIF(HRDataset_clean[[#This Row],[DateofHire]], IF(HRDataset_clean[[#This Row],[DateofTermination]]="", TODAY(),HRDataset_clean[[#This Row],[DateofTermination]]),"Y")</f>
        <v>2</v>
      </c>
    </row>
    <row r="89" spans="1:16" x14ac:dyDescent="0.35">
      <c r="A89" t="s">
        <v>479</v>
      </c>
      <c r="B89">
        <v>10263</v>
      </c>
      <c r="C89">
        <v>0</v>
      </c>
      <c r="D89" s="2">
        <v>71776</v>
      </c>
      <c r="E89" s="3" t="s">
        <v>341</v>
      </c>
      <c r="F89" s="1">
        <v>28755</v>
      </c>
      <c r="G89" t="s">
        <v>342</v>
      </c>
      <c r="H89" t="s">
        <v>329</v>
      </c>
      <c r="I89" s="1">
        <v>41827</v>
      </c>
      <c r="K89" t="s">
        <v>330</v>
      </c>
      <c r="L89" t="s">
        <v>331</v>
      </c>
      <c r="M89" t="s">
        <v>332</v>
      </c>
      <c r="N89" t="s">
        <v>346</v>
      </c>
      <c r="O89">
        <f ca="1">DATEDIF(HRDataset_clean[[#This Row],[DOB]], TODAY(), "Y")</f>
        <v>47</v>
      </c>
      <c r="P89">
        <f ca="1">DATEDIF(HRDataset_clean[[#This Row],[DateofHire]], IF(HRDataset_clean[[#This Row],[DateofTermination]]="", TODAY(),HRDataset_clean[[#This Row],[DateofTermination]]),"Y")</f>
        <v>11</v>
      </c>
    </row>
    <row r="90" spans="1:16" x14ac:dyDescent="0.35">
      <c r="A90" t="s">
        <v>480</v>
      </c>
      <c r="B90">
        <v>10136</v>
      </c>
      <c r="C90">
        <v>0</v>
      </c>
      <c r="D90" s="2">
        <v>65902</v>
      </c>
      <c r="E90" s="3" t="s">
        <v>341</v>
      </c>
      <c r="F90" s="1">
        <v>32047</v>
      </c>
      <c r="G90" t="s">
        <v>342</v>
      </c>
      <c r="H90" t="s">
        <v>329</v>
      </c>
      <c r="I90" s="1">
        <v>41687</v>
      </c>
      <c r="K90" t="s">
        <v>330</v>
      </c>
      <c r="L90" t="s">
        <v>331</v>
      </c>
      <c r="M90" t="s">
        <v>332</v>
      </c>
      <c r="N90" t="s">
        <v>349</v>
      </c>
      <c r="O90">
        <f ca="1">DATEDIF(HRDataset_clean[[#This Row],[DOB]], TODAY(), "Y")</f>
        <v>38</v>
      </c>
      <c r="P90">
        <f ca="1">DATEDIF(HRDataset_clean[[#This Row],[DateofHire]], IF(HRDataset_clean[[#This Row],[DateofTermination]]="", TODAY(),HRDataset_clean[[#This Row],[DateofTermination]]),"Y")</f>
        <v>11</v>
      </c>
    </row>
    <row r="91" spans="1:16" x14ac:dyDescent="0.35">
      <c r="A91" t="s">
        <v>481</v>
      </c>
      <c r="B91">
        <v>10189</v>
      </c>
      <c r="C91">
        <v>0</v>
      </c>
      <c r="D91" s="2">
        <v>57748</v>
      </c>
      <c r="E91" s="3" t="s">
        <v>327</v>
      </c>
      <c r="F91" s="1">
        <v>20193</v>
      </c>
      <c r="G91" t="s">
        <v>342</v>
      </c>
      <c r="H91" t="s">
        <v>329</v>
      </c>
      <c r="I91" s="1">
        <v>40854</v>
      </c>
      <c r="J91" s="1">
        <v>42507</v>
      </c>
      <c r="K91" t="s">
        <v>471</v>
      </c>
      <c r="L91" t="s">
        <v>337</v>
      </c>
      <c r="M91" t="s">
        <v>332</v>
      </c>
      <c r="N91" t="s">
        <v>349</v>
      </c>
      <c r="O91">
        <f ca="1">DATEDIF(HRDataset_clean[[#This Row],[DOB]], TODAY(), "Y")</f>
        <v>70</v>
      </c>
      <c r="P91">
        <f ca="1">DATEDIF(HRDataset_clean[[#This Row],[DateofHire]], IF(HRDataset_clean[[#This Row],[DateofTermination]]="", TODAY(),HRDataset_clean[[#This Row],[DateofTermination]]),"Y")</f>
        <v>4</v>
      </c>
    </row>
    <row r="92" spans="1:16" x14ac:dyDescent="0.35">
      <c r="A92" t="s">
        <v>482</v>
      </c>
      <c r="B92">
        <v>10308</v>
      </c>
      <c r="C92">
        <v>1</v>
      </c>
      <c r="D92" s="2">
        <v>64057</v>
      </c>
      <c r="E92" s="3" t="s">
        <v>327</v>
      </c>
      <c r="F92" s="1">
        <v>32799</v>
      </c>
      <c r="G92" t="s">
        <v>328</v>
      </c>
      <c r="H92" t="s">
        <v>329</v>
      </c>
      <c r="I92" s="1">
        <v>42135</v>
      </c>
      <c r="K92" t="s">
        <v>330</v>
      </c>
      <c r="L92" t="s">
        <v>331</v>
      </c>
      <c r="M92" t="s">
        <v>332</v>
      </c>
      <c r="N92" t="s">
        <v>351</v>
      </c>
      <c r="O92">
        <f ca="1">DATEDIF(HRDataset_clean[[#This Row],[DOB]], TODAY(), "Y")</f>
        <v>36</v>
      </c>
      <c r="P92">
        <f ca="1">DATEDIF(HRDataset_clean[[#This Row],[DateofHire]], IF(HRDataset_clean[[#This Row],[DateofTermination]]="", TODAY(),HRDataset_clean[[#This Row],[DateofTermination]]),"Y")</f>
        <v>10</v>
      </c>
    </row>
    <row r="93" spans="1:16" x14ac:dyDescent="0.35">
      <c r="A93" t="s">
        <v>483</v>
      </c>
      <c r="B93">
        <v>10309</v>
      </c>
      <c r="C93">
        <v>1</v>
      </c>
      <c r="D93" s="2">
        <v>53366</v>
      </c>
      <c r="E93" s="3" t="s">
        <v>484</v>
      </c>
      <c r="F93" s="1">
        <v>31946</v>
      </c>
      <c r="G93" t="s">
        <v>328</v>
      </c>
      <c r="H93" t="s">
        <v>329</v>
      </c>
      <c r="I93" s="1">
        <v>42093</v>
      </c>
      <c r="K93" t="s">
        <v>330</v>
      </c>
      <c r="L93" t="s">
        <v>331</v>
      </c>
      <c r="M93" t="s">
        <v>338</v>
      </c>
      <c r="N93" t="s">
        <v>362</v>
      </c>
      <c r="O93">
        <f ca="1">DATEDIF(HRDataset_clean[[#This Row],[DOB]], TODAY(), "Y")</f>
        <v>38</v>
      </c>
      <c r="P93">
        <f ca="1">DATEDIF(HRDataset_clean[[#This Row],[DateofHire]], IF(HRDataset_clean[[#This Row],[DateofTermination]]="", TODAY(),HRDataset_clean[[#This Row],[DateofTermination]]),"Y")</f>
        <v>10</v>
      </c>
    </row>
    <row r="94" spans="1:16" x14ac:dyDescent="0.35">
      <c r="A94" t="s">
        <v>485</v>
      </c>
      <c r="B94">
        <v>10049</v>
      </c>
      <c r="C94">
        <v>0</v>
      </c>
      <c r="D94" s="2">
        <v>58530</v>
      </c>
      <c r="E94" s="3" t="s">
        <v>327</v>
      </c>
      <c r="F94" s="1">
        <v>29661</v>
      </c>
      <c r="G94" t="s">
        <v>342</v>
      </c>
      <c r="H94" t="s">
        <v>329</v>
      </c>
      <c r="I94" s="1">
        <v>40917</v>
      </c>
      <c r="K94" t="s">
        <v>330</v>
      </c>
      <c r="L94" t="s">
        <v>331</v>
      </c>
      <c r="M94" t="s">
        <v>332</v>
      </c>
      <c r="N94" t="s">
        <v>359</v>
      </c>
      <c r="O94">
        <f ca="1">DATEDIF(HRDataset_clean[[#This Row],[DOB]], TODAY(), "Y")</f>
        <v>44</v>
      </c>
      <c r="P94">
        <f ca="1">DATEDIF(HRDataset_clean[[#This Row],[DateofHire]], IF(HRDataset_clean[[#This Row],[DateofTermination]]="", TODAY(),HRDataset_clean[[#This Row],[DateofTermination]]),"Y")</f>
        <v>13</v>
      </c>
    </row>
    <row r="95" spans="1:16" x14ac:dyDescent="0.35">
      <c r="A95" t="s">
        <v>486</v>
      </c>
      <c r="B95">
        <v>10093</v>
      </c>
      <c r="C95">
        <v>1</v>
      </c>
      <c r="D95" s="2">
        <v>72609</v>
      </c>
      <c r="E95" s="3" t="s">
        <v>341</v>
      </c>
      <c r="F95" s="1">
        <v>29860</v>
      </c>
      <c r="G95" t="s">
        <v>328</v>
      </c>
      <c r="H95" t="s">
        <v>329</v>
      </c>
      <c r="I95" s="1">
        <v>40679</v>
      </c>
      <c r="J95" s="1">
        <v>41449</v>
      </c>
      <c r="K95" t="s">
        <v>343</v>
      </c>
      <c r="L95" t="s">
        <v>337</v>
      </c>
      <c r="M95" t="s">
        <v>332</v>
      </c>
      <c r="N95" t="s">
        <v>351</v>
      </c>
      <c r="O95">
        <f ca="1">DATEDIF(HRDataset_clean[[#This Row],[DOB]], TODAY(), "Y")</f>
        <v>44</v>
      </c>
      <c r="P95">
        <f ca="1">DATEDIF(HRDataset_clean[[#This Row],[DateofHire]], IF(HRDataset_clean[[#This Row],[DateofTermination]]="", TODAY(),HRDataset_clean[[#This Row],[DateofTermination]]),"Y")</f>
        <v>2</v>
      </c>
    </row>
    <row r="96" spans="1:16" x14ac:dyDescent="0.35">
      <c r="A96" t="s">
        <v>487</v>
      </c>
      <c r="B96">
        <v>10163</v>
      </c>
      <c r="C96">
        <v>0</v>
      </c>
      <c r="D96" s="2">
        <v>55965</v>
      </c>
      <c r="E96" s="3" t="s">
        <v>341</v>
      </c>
      <c r="F96" s="1">
        <v>30628</v>
      </c>
      <c r="G96" t="s">
        <v>342</v>
      </c>
      <c r="H96" t="s">
        <v>329</v>
      </c>
      <c r="I96" s="1">
        <v>40637</v>
      </c>
      <c r="J96" s="1">
        <v>41283</v>
      </c>
      <c r="K96" t="s">
        <v>336</v>
      </c>
      <c r="L96" t="s">
        <v>337</v>
      </c>
      <c r="M96" t="s">
        <v>332</v>
      </c>
      <c r="N96" t="s">
        <v>357</v>
      </c>
      <c r="O96">
        <f ca="1">DATEDIF(HRDataset_clean[[#This Row],[DOB]], TODAY(), "Y")</f>
        <v>42</v>
      </c>
      <c r="P96">
        <f ca="1">DATEDIF(HRDataset_clean[[#This Row],[DateofHire]], IF(HRDataset_clean[[#This Row],[DateofTermination]]="", TODAY(),HRDataset_clean[[#This Row],[DateofTermination]]),"Y")</f>
        <v>1</v>
      </c>
    </row>
    <row r="97" spans="1:16" x14ac:dyDescent="0.35">
      <c r="A97" t="s">
        <v>488</v>
      </c>
      <c r="B97">
        <v>10305</v>
      </c>
      <c r="C97">
        <v>1</v>
      </c>
      <c r="D97" s="2">
        <v>70187</v>
      </c>
      <c r="E97" s="3" t="s">
        <v>405</v>
      </c>
      <c r="F97" s="1">
        <v>27582</v>
      </c>
      <c r="G97" t="s">
        <v>328</v>
      </c>
      <c r="H97" t="s">
        <v>329</v>
      </c>
      <c r="I97" s="1">
        <v>41911</v>
      </c>
      <c r="J97" s="1">
        <v>43331</v>
      </c>
      <c r="K97" t="s">
        <v>489</v>
      </c>
      <c r="L97" t="s">
        <v>375</v>
      </c>
      <c r="M97" t="s">
        <v>406</v>
      </c>
      <c r="N97" t="s">
        <v>424</v>
      </c>
      <c r="O97">
        <f ca="1">DATEDIF(HRDataset_clean[[#This Row],[DOB]], TODAY(), "Y")</f>
        <v>50</v>
      </c>
      <c r="P97">
        <f ca="1">DATEDIF(HRDataset_clean[[#This Row],[DateofHire]], IF(HRDataset_clean[[#This Row],[DateofTermination]]="", TODAY(),HRDataset_clean[[#This Row],[DateofTermination]]),"Y")</f>
        <v>3</v>
      </c>
    </row>
    <row r="98" spans="1:16" x14ac:dyDescent="0.35">
      <c r="A98" t="s">
        <v>490</v>
      </c>
      <c r="B98">
        <v>10015</v>
      </c>
      <c r="C98">
        <v>1</v>
      </c>
      <c r="D98" s="2">
        <v>178000</v>
      </c>
      <c r="E98" s="3" t="s">
        <v>491</v>
      </c>
      <c r="F98" s="1">
        <v>29407</v>
      </c>
      <c r="G98" t="s">
        <v>328</v>
      </c>
      <c r="H98" t="s">
        <v>329</v>
      </c>
      <c r="I98" s="1">
        <v>40648</v>
      </c>
      <c r="K98" t="s">
        <v>330</v>
      </c>
      <c r="L98" t="s">
        <v>331</v>
      </c>
      <c r="M98" t="s">
        <v>338</v>
      </c>
      <c r="N98" t="s">
        <v>412</v>
      </c>
      <c r="O98">
        <f ca="1">DATEDIF(HRDataset_clean[[#This Row],[DOB]], TODAY(), "Y")</f>
        <v>45</v>
      </c>
      <c r="P98">
        <f ca="1">DATEDIF(HRDataset_clean[[#This Row],[DateofHire]], IF(HRDataset_clean[[#This Row],[DateofTermination]]="", TODAY(),HRDataset_clean[[#This Row],[DateofTermination]]),"Y")</f>
        <v>14</v>
      </c>
    </row>
    <row r="99" spans="1:16" x14ac:dyDescent="0.35">
      <c r="A99" t="s">
        <v>492</v>
      </c>
      <c r="B99">
        <v>10080</v>
      </c>
      <c r="C99">
        <v>0</v>
      </c>
      <c r="D99" s="2">
        <v>99351</v>
      </c>
      <c r="E99" s="3" t="s">
        <v>392</v>
      </c>
      <c r="F99" s="1">
        <v>28961</v>
      </c>
      <c r="G99" t="s">
        <v>342</v>
      </c>
      <c r="H99" t="s">
        <v>329</v>
      </c>
      <c r="I99" s="1">
        <v>39818</v>
      </c>
      <c r="K99" t="s">
        <v>330</v>
      </c>
      <c r="L99" t="s">
        <v>331</v>
      </c>
      <c r="M99" t="s">
        <v>393</v>
      </c>
      <c r="N99" t="s">
        <v>493</v>
      </c>
      <c r="O99">
        <f ca="1">DATEDIF(HRDataset_clean[[#This Row],[DOB]], TODAY(), "Y")</f>
        <v>46</v>
      </c>
      <c r="P99">
        <f ca="1">DATEDIF(HRDataset_clean[[#This Row],[DateofHire]], IF(HRDataset_clean[[#This Row],[DateofTermination]]="", TODAY(),HRDataset_clean[[#This Row],[DateofTermination]]),"Y")</f>
        <v>16</v>
      </c>
    </row>
    <row r="100" spans="1:16" x14ac:dyDescent="0.35">
      <c r="A100" t="s">
        <v>494</v>
      </c>
      <c r="B100">
        <v>10258</v>
      </c>
      <c r="C100">
        <v>1</v>
      </c>
      <c r="D100" s="2">
        <v>67251</v>
      </c>
      <c r="E100" s="3" t="s">
        <v>405</v>
      </c>
      <c r="F100" s="1">
        <v>23251</v>
      </c>
      <c r="G100" t="s">
        <v>328</v>
      </c>
      <c r="H100" t="s">
        <v>329</v>
      </c>
      <c r="I100" s="1">
        <v>40792</v>
      </c>
      <c r="K100" t="s">
        <v>330</v>
      </c>
      <c r="L100" t="s">
        <v>331</v>
      </c>
      <c r="M100" t="s">
        <v>406</v>
      </c>
      <c r="N100" t="s">
        <v>424</v>
      </c>
      <c r="O100">
        <f ca="1">DATEDIF(HRDataset_clean[[#This Row],[DOB]], TODAY(), "Y")</f>
        <v>62</v>
      </c>
      <c r="P100">
        <f ca="1">DATEDIF(HRDataset_clean[[#This Row],[DateofHire]], IF(HRDataset_clean[[#This Row],[DateofTermination]]="", TODAY(),HRDataset_clean[[#This Row],[DateofTermination]]),"Y")</f>
        <v>14</v>
      </c>
    </row>
    <row r="101" spans="1:16" x14ac:dyDescent="0.35">
      <c r="A101" t="s">
        <v>495</v>
      </c>
      <c r="B101">
        <v>10273</v>
      </c>
      <c r="C101">
        <v>0</v>
      </c>
      <c r="D101" s="2">
        <v>65707</v>
      </c>
      <c r="E101" s="3" t="s">
        <v>361</v>
      </c>
      <c r="F101" s="1">
        <v>25025</v>
      </c>
      <c r="G101" t="s">
        <v>342</v>
      </c>
      <c r="H101" t="s">
        <v>329</v>
      </c>
      <c r="I101" s="1">
        <v>40299</v>
      </c>
      <c r="K101" t="s">
        <v>330</v>
      </c>
      <c r="L101" t="s">
        <v>331</v>
      </c>
      <c r="M101" t="s">
        <v>338</v>
      </c>
      <c r="N101" t="s">
        <v>430</v>
      </c>
      <c r="O101">
        <f ca="1">DATEDIF(HRDataset_clean[[#This Row],[DOB]], TODAY(), "Y")</f>
        <v>57</v>
      </c>
      <c r="P101">
        <f ca="1">DATEDIF(HRDataset_clean[[#This Row],[DateofHire]], IF(HRDataset_clean[[#This Row],[DateofTermination]]="", TODAY(),HRDataset_clean[[#This Row],[DateofTermination]]),"Y")</f>
        <v>15</v>
      </c>
    </row>
    <row r="102" spans="1:16" x14ac:dyDescent="0.35">
      <c r="A102" t="s">
        <v>496</v>
      </c>
      <c r="B102">
        <v>10111</v>
      </c>
      <c r="C102">
        <v>1</v>
      </c>
      <c r="D102" s="2">
        <v>52249</v>
      </c>
      <c r="E102" s="3" t="s">
        <v>327</v>
      </c>
      <c r="F102" s="1">
        <v>31305</v>
      </c>
      <c r="G102" t="s">
        <v>328</v>
      </c>
      <c r="H102" t="s">
        <v>329</v>
      </c>
      <c r="I102" s="1">
        <v>42093</v>
      </c>
      <c r="K102" t="s">
        <v>330</v>
      </c>
      <c r="L102" t="s">
        <v>331</v>
      </c>
      <c r="M102" t="s">
        <v>332</v>
      </c>
      <c r="N102" t="s">
        <v>365</v>
      </c>
      <c r="O102">
        <f ca="1">DATEDIF(HRDataset_clean[[#This Row],[DOB]], TODAY(), "Y")</f>
        <v>40</v>
      </c>
      <c r="P102">
        <f ca="1">DATEDIF(HRDataset_clean[[#This Row],[DateofHire]], IF(HRDataset_clean[[#This Row],[DateofTermination]]="", TODAY(),HRDataset_clean[[#This Row],[DateofTermination]]),"Y")</f>
        <v>10</v>
      </c>
    </row>
    <row r="103" spans="1:16" x14ac:dyDescent="0.35">
      <c r="A103" t="s">
        <v>497</v>
      </c>
      <c r="B103">
        <v>10257</v>
      </c>
      <c r="C103">
        <v>0</v>
      </c>
      <c r="D103" s="2">
        <v>53171</v>
      </c>
      <c r="E103" s="3" t="s">
        <v>327</v>
      </c>
      <c r="F103" s="1">
        <v>30652</v>
      </c>
      <c r="G103" t="s">
        <v>342</v>
      </c>
      <c r="H103" t="s">
        <v>329</v>
      </c>
      <c r="I103" s="1">
        <v>40679</v>
      </c>
      <c r="K103" t="s">
        <v>330</v>
      </c>
      <c r="L103" t="s">
        <v>331</v>
      </c>
      <c r="M103" t="s">
        <v>332</v>
      </c>
      <c r="N103" t="s">
        <v>371</v>
      </c>
      <c r="O103">
        <f ca="1">DATEDIF(HRDataset_clean[[#This Row],[DOB]], TODAY(), "Y")</f>
        <v>42</v>
      </c>
      <c r="P103">
        <f ca="1">DATEDIF(HRDataset_clean[[#This Row],[DateofHire]], IF(HRDataset_clean[[#This Row],[DateofTermination]]="", TODAY(),HRDataset_clean[[#This Row],[DateofTermination]]),"Y")</f>
        <v>14</v>
      </c>
    </row>
    <row r="104" spans="1:16" x14ac:dyDescent="0.35">
      <c r="A104" t="s">
        <v>498</v>
      </c>
      <c r="B104">
        <v>10159</v>
      </c>
      <c r="C104">
        <v>0</v>
      </c>
      <c r="D104" s="2">
        <v>51337</v>
      </c>
      <c r="E104" s="3" t="s">
        <v>327</v>
      </c>
      <c r="F104" s="1">
        <v>33147</v>
      </c>
      <c r="G104" t="s">
        <v>342</v>
      </c>
      <c r="H104" t="s">
        <v>329</v>
      </c>
      <c r="I104" s="1">
        <v>42093</v>
      </c>
      <c r="K104" t="s">
        <v>330</v>
      </c>
      <c r="L104" t="s">
        <v>331</v>
      </c>
      <c r="M104" t="s">
        <v>332</v>
      </c>
      <c r="N104" t="s">
        <v>333</v>
      </c>
      <c r="O104">
        <f ca="1">DATEDIF(HRDataset_clean[[#This Row],[DOB]], TODAY(), "Y")</f>
        <v>35</v>
      </c>
      <c r="P104">
        <f ca="1">DATEDIF(HRDataset_clean[[#This Row],[DateofHire]], IF(HRDataset_clean[[#This Row],[DateofTermination]]="", TODAY(),HRDataset_clean[[#This Row],[DateofTermination]]),"Y")</f>
        <v>10</v>
      </c>
    </row>
    <row r="105" spans="1:16" x14ac:dyDescent="0.35">
      <c r="A105" t="s">
        <v>499</v>
      </c>
      <c r="B105">
        <v>10122</v>
      </c>
      <c r="C105">
        <v>0</v>
      </c>
      <c r="D105" s="2">
        <v>51505</v>
      </c>
      <c r="E105" s="3" t="s">
        <v>327</v>
      </c>
      <c r="F105" s="1">
        <v>25703</v>
      </c>
      <c r="G105" t="s">
        <v>342</v>
      </c>
      <c r="H105" t="s">
        <v>329</v>
      </c>
      <c r="I105" s="1">
        <v>40854</v>
      </c>
      <c r="J105" s="1">
        <v>42689</v>
      </c>
      <c r="K105" t="s">
        <v>343</v>
      </c>
      <c r="L105" t="s">
        <v>337</v>
      </c>
      <c r="M105" t="s">
        <v>332</v>
      </c>
      <c r="N105" t="s">
        <v>346</v>
      </c>
      <c r="O105">
        <f ca="1">DATEDIF(HRDataset_clean[[#This Row],[DOB]], TODAY(), "Y")</f>
        <v>55</v>
      </c>
      <c r="P105">
        <f ca="1">DATEDIF(HRDataset_clean[[#This Row],[DateofHire]], IF(HRDataset_clean[[#This Row],[DateofTermination]]="", TODAY(),HRDataset_clean[[#This Row],[DateofTermination]]),"Y")</f>
        <v>5</v>
      </c>
    </row>
    <row r="106" spans="1:16" x14ac:dyDescent="0.35">
      <c r="A106" t="s">
        <v>500</v>
      </c>
      <c r="B106">
        <v>10142</v>
      </c>
      <c r="C106">
        <v>0</v>
      </c>
      <c r="D106" s="2">
        <v>59370</v>
      </c>
      <c r="E106" s="3" t="s">
        <v>405</v>
      </c>
      <c r="F106" s="1">
        <v>26124</v>
      </c>
      <c r="G106" t="s">
        <v>342</v>
      </c>
      <c r="H106" t="s">
        <v>329</v>
      </c>
      <c r="I106" s="1">
        <v>41827</v>
      </c>
      <c r="J106" s="1">
        <v>42252</v>
      </c>
      <c r="K106" t="s">
        <v>374</v>
      </c>
      <c r="L106" t="s">
        <v>375</v>
      </c>
      <c r="M106" t="s">
        <v>406</v>
      </c>
      <c r="N106" t="s">
        <v>407</v>
      </c>
      <c r="O106">
        <f ca="1">DATEDIF(HRDataset_clean[[#This Row],[DOB]], TODAY(), "Y")</f>
        <v>54</v>
      </c>
      <c r="P106">
        <f ca="1">DATEDIF(HRDataset_clean[[#This Row],[DateofHire]], IF(HRDataset_clean[[#This Row],[DateofTermination]]="", TODAY(),HRDataset_clean[[#This Row],[DateofTermination]]),"Y")</f>
        <v>1</v>
      </c>
    </row>
    <row r="107" spans="1:16" x14ac:dyDescent="0.35">
      <c r="A107" t="s">
        <v>501</v>
      </c>
      <c r="B107">
        <v>10283</v>
      </c>
      <c r="C107">
        <v>1</v>
      </c>
      <c r="D107" s="2">
        <v>54933</v>
      </c>
      <c r="E107" s="3" t="s">
        <v>327</v>
      </c>
      <c r="F107" s="1">
        <v>27250</v>
      </c>
      <c r="G107" t="s">
        <v>328</v>
      </c>
      <c r="H107" t="s">
        <v>329</v>
      </c>
      <c r="I107" s="1">
        <v>41001</v>
      </c>
      <c r="J107" s="1">
        <v>42180</v>
      </c>
      <c r="K107" t="s">
        <v>471</v>
      </c>
      <c r="L107" t="s">
        <v>337</v>
      </c>
      <c r="M107" t="s">
        <v>332</v>
      </c>
      <c r="N107" t="s">
        <v>349</v>
      </c>
      <c r="O107">
        <f ca="1">DATEDIF(HRDataset_clean[[#This Row],[DOB]], TODAY(), "Y")</f>
        <v>51</v>
      </c>
      <c r="P107">
        <f ca="1">DATEDIF(HRDataset_clean[[#This Row],[DateofHire]], IF(HRDataset_clean[[#This Row],[DateofTermination]]="", TODAY(),HRDataset_clean[[#This Row],[DateofTermination]]),"Y")</f>
        <v>3</v>
      </c>
    </row>
    <row r="108" spans="1:16" x14ac:dyDescent="0.35">
      <c r="A108" t="s">
        <v>502</v>
      </c>
      <c r="B108">
        <v>10018</v>
      </c>
      <c r="C108">
        <v>0</v>
      </c>
      <c r="D108" s="2">
        <v>57815</v>
      </c>
      <c r="E108" s="3" t="s">
        <v>327</v>
      </c>
      <c r="F108" s="1">
        <v>29349</v>
      </c>
      <c r="G108" t="s">
        <v>342</v>
      </c>
      <c r="H108" t="s">
        <v>329</v>
      </c>
      <c r="I108" s="1">
        <v>41911</v>
      </c>
      <c r="K108" t="s">
        <v>330</v>
      </c>
      <c r="L108" t="s">
        <v>331</v>
      </c>
      <c r="M108" t="s">
        <v>332</v>
      </c>
      <c r="N108" t="s">
        <v>351</v>
      </c>
      <c r="O108">
        <f ca="1">DATEDIF(HRDataset_clean[[#This Row],[DOB]], TODAY(), "Y")</f>
        <v>45</v>
      </c>
      <c r="P108">
        <f ca="1">DATEDIF(HRDataset_clean[[#This Row],[DateofHire]], IF(HRDataset_clean[[#This Row],[DateofTermination]]="", TODAY(),HRDataset_clean[[#This Row],[DateofTermination]]),"Y")</f>
        <v>11</v>
      </c>
    </row>
    <row r="109" spans="1:16" x14ac:dyDescent="0.35">
      <c r="A109" t="s">
        <v>503</v>
      </c>
      <c r="B109">
        <v>10255</v>
      </c>
      <c r="C109">
        <v>0</v>
      </c>
      <c r="D109" s="2">
        <v>61555</v>
      </c>
      <c r="E109" s="3" t="s">
        <v>405</v>
      </c>
      <c r="F109" s="1">
        <v>32773</v>
      </c>
      <c r="G109" t="s">
        <v>342</v>
      </c>
      <c r="H109" t="s">
        <v>329</v>
      </c>
      <c r="I109" s="1">
        <v>42051</v>
      </c>
      <c r="K109" t="s">
        <v>330</v>
      </c>
      <c r="L109" t="s">
        <v>331</v>
      </c>
      <c r="M109" t="s">
        <v>406</v>
      </c>
      <c r="N109" t="s">
        <v>424</v>
      </c>
      <c r="O109">
        <f ca="1">DATEDIF(HRDataset_clean[[#This Row],[DOB]], TODAY(), "Y")</f>
        <v>36</v>
      </c>
      <c r="P109">
        <f ca="1">DATEDIF(HRDataset_clean[[#This Row],[DateofHire]], IF(HRDataset_clean[[#This Row],[DateofTermination]]="", TODAY(),HRDataset_clean[[#This Row],[DateofTermination]]),"Y")</f>
        <v>10</v>
      </c>
    </row>
    <row r="110" spans="1:16" x14ac:dyDescent="0.35">
      <c r="A110" t="s">
        <v>504</v>
      </c>
      <c r="B110">
        <v>10246</v>
      </c>
      <c r="C110">
        <v>0</v>
      </c>
      <c r="D110" s="2">
        <v>114800</v>
      </c>
      <c r="E110" s="3" t="s">
        <v>380</v>
      </c>
      <c r="F110" s="1">
        <v>26229</v>
      </c>
      <c r="G110" t="s">
        <v>342</v>
      </c>
      <c r="H110" t="s">
        <v>329</v>
      </c>
      <c r="I110" s="1">
        <v>42051</v>
      </c>
      <c r="J110" s="1">
        <v>42078</v>
      </c>
      <c r="K110" t="s">
        <v>477</v>
      </c>
      <c r="L110" t="s">
        <v>375</v>
      </c>
      <c r="M110" t="s">
        <v>338</v>
      </c>
      <c r="N110" t="s">
        <v>339</v>
      </c>
      <c r="O110">
        <f ca="1">DATEDIF(HRDataset_clean[[#This Row],[DOB]], TODAY(), "Y")</f>
        <v>54</v>
      </c>
      <c r="P110">
        <f ca="1">DATEDIF(HRDataset_clean[[#This Row],[DateofHire]], IF(HRDataset_clean[[#This Row],[DateofTermination]]="", TODAY(),HRDataset_clean[[#This Row],[DateofTermination]]),"Y")</f>
        <v>0</v>
      </c>
    </row>
    <row r="111" spans="1:16" x14ac:dyDescent="0.35">
      <c r="A111" t="s">
        <v>505</v>
      </c>
      <c r="B111">
        <v>10228</v>
      </c>
      <c r="C111">
        <v>1</v>
      </c>
      <c r="D111" s="2">
        <v>74679</v>
      </c>
      <c r="E111" s="3" t="s">
        <v>361</v>
      </c>
      <c r="F111" s="1">
        <v>32836</v>
      </c>
      <c r="G111" t="s">
        <v>328</v>
      </c>
      <c r="H111" t="s">
        <v>329</v>
      </c>
      <c r="I111" s="1">
        <v>42093</v>
      </c>
      <c r="K111" t="s">
        <v>330</v>
      </c>
      <c r="L111" t="s">
        <v>331</v>
      </c>
      <c r="M111" t="s">
        <v>338</v>
      </c>
      <c r="N111" t="s">
        <v>362</v>
      </c>
      <c r="O111">
        <f ca="1">DATEDIF(HRDataset_clean[[#This Row],[DOB]], TODAY(), "Y")</f>
        <v>36</v>
      </c>
      <c r="P111">
        <f ca="1">DATEDIF(HRDataset_clean[[#This Row],[DateofHire]], IF(HRDataset_clean[[#This Row],[DateofTermination]]="", TODAY(),HRDataset_clean[[#This Row],[DateofTermination]]),"Y")</f>
        <v>10</v>
      </c>
    </row>
    <row r="112" spans="1:16" x14ac:dyDescent="0.35">
      <c r="A112" t="s">
        <v>506</v>
      </c>
      <c r="B112">
        <v>10243</v>
      </c>
      <c r="C112">
        <v>0</v>
      </c>
      <c r="D112" s="2">
        <v>53018</v>
      </c>
      <c r="E112" s="3" t="s">
        <v>327</v>
      </c>
      <c r="F112" s="1">
        <v>33773</v>
      </c>
      <c r="G112" t="s">
        <v>342</v>
      </c>
      <c r="H112" t="s">
        <v>329</v>
      </c>
      <c r="I112" s="1">
        <v>41589</v>
      </c>
      <c r="K112" t="s">
        <v>330</v>
      </c>
      <c r="L112" t="s">
        <v>331</v>
      </c>
      <c r="M112" t="s">
        <v>332</v>
      </c>
      <c r="N112" t="s">
        <v>357</v>
      </c>
      <c r="O112">
        <f ca="1">DATEDIF(HRDataset_clean[[#This Row],[DOB]], TODAY(), "Y")</f>
        <v>33</v>
      </c>
      <c r="P112">
        <f ca="1">DATEDIF(HRDataset_clean[[#This Row],[DateofHire]], IF(HRDataset_clean[[#This Row],[DateofTermination]]="", TODAY(),HRDataset_clean[[#This Row],[DateofTermination]]),"Y")</f>
        <v>12</v>
      </c>
    </row>
    <row r="113" spans="1:16" x14ac:dyDescent="0.35">
      <c r="A113" t="s">
        <v>507</v>
      </c>
      <c r="B113">
        <v>10031</v>
      </c>
      <c r="C113">
        <v>1</v>
      </c>
      <c r="D113" s="2">
        <v>59892</v>
      </c>
      <c r="E113" s="3" t="s">
        <v>327</v>
      </c>
      <c r="F113" s="1">
        <v>25475</v>
      </c>
      <c r="G113" t="s">
        <v>328</v>
      </c>
      <c r="H113" t="s">
        <v>329</v>
      </c>
      <c r="I113" s="1">
        <v>40735</v>
      </c>
      <c r="K113" t="s">
        <v>330</v>
      </c>
      <c r="L113" t="s">
        <v>331</v>
      </c>
      <c r="M113" t="s">
        <v>332</v>
      </c>
      <c r="N113" t="s">
        <v>359</v>
      </c>
      <c r="O113">
        <f ca="1">DATEDIF(HRDataset_clean[[#This Row],[DOB]], TODAY(), "Y")</f>
        <v>56</v>
      </c>
      <c r="P113">
        <f ca="1">DATEDIF(HRDataset_clean[[#This Row],[DateofHire]], IF(HRDataset_clean[[#This Row],[DateofTermination]]="", TODAY(),HRDataset_clean[[#This Row],[DateofTermination]]),"Y")</f>
        <v>14</v>
      </c>
    </row>
    <row r="114" spans="1:16" x14ac:dyDescent="0.35">
      <c r="A114" t="s">
        <v>508</v>
      </c>
      <c r="B114">
        <v>10300</v>
      </c>
      <c r="C114">
        <v>1</v>
      </c>
      <c r="D114" s="2">
        <v>68898</v>
      </c>
      <c r="E114" s="3" t="s">
        <v>341</v>
      </c>
      <c r="F114" s="1">
        <v>23662</v>
      </c>
      <c r="G114" t="s">
        <v>328</v>
      </c>
      <c r="H114" t="s">
        <v>329</v>
      </c>
      <c r="I114" s="1">
        <v>40294</v>
      </c>
      <c r="J114" s="1">
        <v>40693</v>
      </c>
      <c r="K114" t="s">
        <v>336</v>
      </c>
      <c r="L114" t="s">
        <v>337</v>
      </c>
      <c r="M114" t="s">
        <v>332</v>
      </c>
      <c r="N114" t="s">
        <v>359</v>
      </c>
      <c r="O114">
        <f ca="1">DATEDIF(HRDataset_clean[[#This Row],[DOB]], TODAY(), "Y")</f>
        <v>61</v>
      </c>
      <c r="P114">
        <f ca="1">DATEDIF(HRDataset_clean[[#This Row],[DateofHire]], IF(HRDataset_clean[[#This Row],[DateofTermination]]="", TODAY(),HRDataset_clean[[#This Row],[DateofTermination]]),"Y")</f>
        <v>1</v>
      </c>
    </row>
    <row r="115" spans="1:16" x14ac:dyDescent="0.35">
      <c r="A115" t="s">
        <v>509</v>
      </c>
      <c r="B115">
        <v>10101</v>
      </c>
      <c r="C115">
        <v>0</v>
      </c>
      <c r="D115" s="2">
        <v>61242</v>
      </c>
      <c r="E115" s="3" t="s">
        <v>361</v>
      </c>
      <c r="F115" s="1">
        <v>29692</v>
      </c>
      <c r="G115" t="s">
        <v>342</v>
      </c>
      <c r="H115" t="s">
        <v>329</v>
      </c>
      <c r="I115" s="1">
        <v>42009</v>
      </c>
      <c r="K115" t="s">
        <v>330</v>
      </c>
      <c r="L115" t="s">
        <v>331</v>
      </c>
      <c r="M115" t="s">
        <v>338</v>
      </c>
      <c r="N115" t="s">
        <v>362</v>
      </c>
      <c r="O115">
        <f ca="1">DATEDIF(HRDataset_clean[[#This Row],[DOB]], TODAY(), "Y")</f>
        <v>44</v>
      </c>
      <c r="P115">
        <f ca="1">DATEDIF(HRDataset_clean[[#This Row],[DateofHire]], IF(HRDataset_clean[[#This Row],[DateofTermination]]="", TODAY(),HRDataset_clean[[#This Row],[DateofTermination]]),"Y")</f>
        <v>10</v>
      </c>
    </row>
    <row r="116" spans="1:16" x14ac:dyDescent="0.35">
      <c r="A116" t="s">
        <v>510</v>
      </c>
      <c r="B116">
        <v>10237</v>
      </c>
      <c r="C116">
        <v>0</v>
      </c>
      <c r="D116" s="2">
        <v>66825</v>
      </c>
      <c r="E116" s="3" t="s">
        <v>341</v>
      </c>
      <c r="F116" s="1">
        <v>31557</v>
      </c>
      <c r="G116" t="s">
        <v>342</v>
      </c>
      <c r="H116" t="s">
        <v>329</v>
      </c>
      <c r="I116" s="1">
        <v>41771</v>
      </c>
      <c r="K116" t="s">
        <v>330</v>
      </c>
      <c r="L116" t="s">
        <v>331</v>
      </c>
      <c r="M116" t="s">
        <v>332</v>
      </c>
      <c r="N116" t="s">
        <v>365</v>
      </c>
      <c r="O116">
        <f ca="1">DATEDIF(HRDataset_clean[[#This Row],[DOB]], TODAY(), "Y")</f>
        <v>39</v>
      </c>
      <c r="P116">
        <f ca="1">DATEDIF(HRDataset_clean[[#This Row],[DateofHire]], IF(HRDataset_clean[[#This Row],[DateofTermination]]="", TODAY(),HRDataset_clean[[#This Row],[DateofTermination]]),"Y")</f>
        <v>11</v>
      </c>
    </row>
    <row r="117" spans="1:16" x14ac:dyDescent="0.35">
      <c r="A117" t="s">
        <v>511</v>
      </c>
      <c r="B117">
        <v>10051</v>
      </c>
      <c r="C117">
        <v>1</v>
      </c>
      <c r="D117" s="2">
        <v>48285</v>
      </c>
      <c r="E117" s="3" t="s">
        <v>327</v>
      </c>
      <c r="F117" s="1">
        <v>28996</v>
      </c>
      <c r="G117" t="s">
        <v>328</v>
      </c>
      <c r="H117" t="s">
        <v>329</v>
      </c>
      <c r="I117" s="1">
        <v>41092</v>
      </c>
      <c r="K117" t="s">
        <v>330</v>
      </c>
      <c r="L117" t="s">
        <v>331</v>
      </c>
      <c r="M117" t="s">
        <v>332</v>
      </c>
      <c r="N117" t="s">
        <v>365</v>
      </c>
      <c r="O117">
        <f ca="1">DATEDIF(HRDataset_clean[[#This Row],[DOB]], TODAY(), "Y")</f>
        <v>46</v>
      </c>
      <c r="P117">
        <f ca="1">DATEDIF(HRDataset_clean[[#This Row],[DateofHire]], IF(HRDataset_clean[[#This Row],[DateofTermination]]="", TODAY(),HRDataset_clean[[#This Row],[DateofTermination]]),"Y")</f>
        <v>13</v>
      </c>
    </row>
    <row r="118" spans="1:16" x14ac:dyDescent="0.35">
      <c r="A118" t="s">
        <v>512</v>
      </c>
      <c r="B118">
        <v>10218</v>
      </c>
      <c r="C118">
        <v>0</v>
      </c>
      <c r="D118" s="2">
        <v>66149</v>
      </c>
      <c r="E118" s="3" t="s">
        <v>341</v>
      </c>
      <c r="F118" s="1">
        <v>30658</v>
      </c>
      <c r="G118" t="s">
        <v>342</v>
      </c>
      <c r="H118" t="s">
        <v>329</v>
      </c>
      <c r="I118" s="1">
        <v>41547</v>
      </c>
      <c r="K118" t="s">
        <v>330</v>
      </c>
      <c r="L118" t="s">
        <v>331</v>
      </c>
      <c r="M118" t="s">
        <v>332</v>
      </c>
      <c r="N118" t="s">
        <v>344</v>
      </c>
      <c r="O118">
        <f ca="1">DATEDIF(HRDataset_clean[[#This Row],[DOB]], TODAY(), "Y")</f>
        <v>42</v>
      </c>
      <c r="P118">
        <f ca="1">DATEDIF(HRDataset_clean[[#This Row],[DateofHire]], IF(HRDataset_clean[[#This Row],[DateofTermination]]="", TODAY(),HRDataset_clean[[#This Row],[DateofTermination]]),"Y")</f>
        <v>12</v>
      </c>
    </row>
    <row r="119" spans="1:16" x14ac:dyDescent="0.35">
      <c r="A119" t="s">
        <v>513</v>
      </c>
      <c r="B119">
        <v>10256</v>
      </c>
      <c r="C119">
        <v>0</v>
      </c>
      <c r="D119" s="2">
        <v>49256</v>
      </c>
      <c r="E119" s="3" t="s">
        <v>327</v>
      </c>
      <c r="F119" s="1">
        <v>27311</v>
      </c>
      <c r="G119" t="s">
        <v>342</v>
      </c>
      <c r="H119" t="s">
        <v>329</v>
      </c>
      <c r="I119" s="1">
        <v>41505</v>
      </c>
      <c r="K119" t="s">
        <v>330</v>
      </c>
      <c r="L119" t="s">
        <v>331</v>
      </c>
      <c r="M119" t="s">
        <v>332</v>
      </c>
      <c r="N119" t="s">
        <v>344</v>
      </c>
      <c r="O119">
        <f ca="1">DATEDIF(HRDataset_clean[[#This Row],[DOB]], TODAY(), "Y")</f>
        <v>51</v>
      </c>
      <c r="P119">
        <f ca="1">DATEDIF(HRDataset_clean[[#This Row],[DateofHire]], IF(HRDataset_clean[[#This Row],[DateofTermination]]="", TODAY(),HRDataset_clean[[#This Row],[DateofTermination]]),"Y")</f>
        <v>12</v>
      </c>
    </row>
    <row r="120" spans="1:16" x14ac:dyDescent="0.35">
      <c r="A120" t="s">
        <v>514</v>
      </c>
      <c r="B120">
        <v>10098</v>
      </c>
      <c r="C120">
        <v>1</v>
      </c>
      <c r="D120" s="2">
        <v>62957</v>
      </c>
      <c r="E120" s="3" t="s">
        <v>396</v>
      </c>
      <c r="F120" s="1">
        <v>29778</v>
      </c>
      <c r="G120" t="s">
        <v>328</v>
      </c>
      <c r="H120" t="s">
        <v>329</v>
      </c>
      <c r="I120" s="1">
        <v>42157</v>
      </c>
      <c r="K120" t="s">
        <v>330</v>
      </c>
      <c r="L120" t="s">
        <v>331</v>
      </c>
      <c r="M120" t="s">
        <v>332</v>
      </c>
      <c r="N120" t="s">
        <v>398</v>
      </c>
      <c r="O120">
        <f ca="1">DATEDIF(HRDataset_clean[[#This Row],[DOB]], TODAY(), "Y")</f>
        <v>44</v>
      </c>
      <c r="P120">
        <f ca="1">DATEDIF(HRDataset_clean[[#This Row],[DateofHire]], IF(HRDataset_clean[[#This Row],[DateofTermination]]="", TODAY(),HRDataset_clean[[#This Row],[DateofTermination]]),"Y")</f>
        <v>10</v>
      </c>
    </row>
    <row r="121" spans="1:16" x14ac:dyDescent="0.35">
      <c r="A121" t="s">
        <v>515</v>
      </c>
      <c r="B121">
        <v>10059</v>
      </c>
      <c r="C121">
        <v>0</v>
      </c>
      <c r="D121" s="2">
        <v>63813</v>
      </c>
      <c r="E121" s="3" t="s">
        <v>327</v>
      </c>
      <c r="F121" s="1">
        <v>30457</v>
      </c>
      <c r="G121" t="s">
        <v>342</v>
      </c>
      <c r="H121" t="s">
        <v>329</v>
      </c>
      <c r="I121" s="1">
        <v>40595</v>
      </c>
      <c r="J121" s="1">
        <v>41650</v>
      </c>
      <c r="K121" t="s">
        <v>455</v>
      </c>
      <c r="L121" t="s">
        <v>337</v>
      </c>
      <c r="M121" t="s">
        <v>332</v>
      </c>
      <c r="N121" t="s">
        <v>371</v>
      </c>
      <c r="O121">
        <f ca="1">DATEDIF(HRDataset_clean[[#This Row],[DOB]], TODAY(), "Y")</f>
        <v>42</v>
      </c>
      <c r="P121">
        <f ca="1">DATEDIF(HRDataset_clean[[#This Row],[DateofHire]], IF(HRDataset_clean[[#This Row],[DateofTermination]]="", TODAY(),HRDataset_clean[[#This Row],[DateofTermination]]),"Y")</f>
        <v>2</v>
      </c>
    </row>
    <row r="122" spans="1:16" x14ac:dyDescent="0.35">
      <c r="A122" t="s">
        <v>516</v>
      </c>
      <c r="B122">
        <v>10234</v>
      </c>
      <c r="C122">
        <v>1</v>
      </c>
      <c r="D122" s="2">
        <v>99020</v>
      </c>
      <c r="E122" s="3" t="s">
        <v>458</v>
      </c>
      <c r="F122" s="1">
        <v>32689</v>
      </c>
      <c r="G122" t="s">
        <v>328</v>
      </c>
      <c r="H122" t="s">
        <v>329</v>
      </c>
      <c r="I122" s="1">
        <v>42845</v>
      </c>
      <c r="K122" t="s">
        <v>330</v>
      </c>
      <c r="L122" t="s">
        <v>331</v>
      </c>
      <c r="M122" t="s">
        <v>338</v>
      </c>
      <c r="N122" t="s">
        <v>459</v>
      </c>
      <c r="O122">
        <f ca="1">DATEDIF(HRDataset_clean[[#This Row],[DOB]], TODAY(), "Y")</f>
        <v>36</v>
      </c>
      <c r="P122">
        <f ca="1">DATEDIF(HRDataset_clean[[#This Row],[DateofHire]], IF(HRDataset_clean[[#This Row],[DateofTermination]]="", TODAY(),HRDataset_clean[[#This Row],[DateofTermination]]),"Y")</f>
        <v>8</v>
      </c>
    </row>
    <row r="123" spans="1:16" x14ac:dyDescent="0.35">
      <c r="A123" t="s">
        <v>517</v>
      </c>
      <c r="B123">
        <v>10109</v>
      </c>
      <c r="C123">
        <v>1</v>
      </c>
      <c r="D123" s="2">
        <v>71707</v>
      </c>
      <c r="E123" s="3" t="s">
        <v>405</v>
      </c>
      <c r="F123" s="1">
        <v>25243</v>
      </c>
      <c r="G123" t="s">
        <v>328</v>
      </c>
      <c r="H123" t="s">
        <v>329</v>
      </c>
      <c r="I123" s="1">
        <v>40975</v>
      </c>
      <c r="J123" s="1">
        <v>41943</v>
      </c>
      <c r="K123" t="s">
        <v>426</v>
      </c>
      <c r="L123" t="s">
        <v>337</v>
      </c>
      <c r="M123" t="s">
        <v>406</v>
      </c>
      <c r="N123" t="s">
        <v>407</v>
      </c>
      <c r="O123">
        <f ca="1">DATEDIF(HRDataset_clean[[#This Row],[DOB]], TODAY(), "Y")</f>
        <v>56</v>
      </c>
      <c r="P123">
        <f ca="1">DATEDIF(HRDataset_clean[[#This Row],[DateofHire]], IF(HRDataset_clean[[#This Row],[DateofTermination]]="", TODAY(),HRDataset_clean[[#This Row],[DateofTermination]]),"Y")</f>
        <v>2</v>
      </c>
    </row>
    <row r="124" spans="1:16" x14ac:dyDescent="0.35">
      <c r="A124" t="s">
        <v>518</v>
      </c>
      <c r="B124">
        <v>10125</v>
      </c>
      <c r="C124">
        <v>0</v>
      </c>
      <c r="D124" s="2">
        <v>54828</v>
      </c>
      <c r="E124" s="3" t="s">
        <v>327</v>
      </c>
      <c r="F124" s="1">
        <v>28207</v>
      </c>
      <c r="G124" t="s">
        <v>342</v>
      </c>
      <c r="H124" t="s">
        <v>329</v>
      </c>
      <c r="I124" s="1">
        <v>40875</v>
      </c>
      <c r="K124" t="s">
        <v>330</v>
      </c>
      <c r="L124" t="s">
        <v>331</v>
      </c>
      <c r="M124" t="s">
        <v>332</v>
      </c>
      <c r="N124" t="s">
        <v>333</v>
      </c>
      <c r="O124">
        <f ca="1">DATEDIF(HRDataset_clean[[#This Row],[DOB]], TODAY(), "Y")</f>
        <v>48</v>
      </c>
      <c r="P124">
        <f ca="1">DATEDIF(HRDataset_clean[[#This Row],[DateofHire]], IF(HRDataset_clean[[#This Row],[DateofTermination]]="", TODAY(),HRDataset_clean[[#This Row],[DateofTermination]]),"Y")</f>
        <v>14</v>
      </c>
    </row>
    <row r="125" spans="1:16" x14ac:dyDescent="0.35">
      <c r="A125" t="s">
        <v>519</v>
      </c>
      <c r="B125">
        <v>10074</v>
      </c>
      <c r="C125">
        <v>1</v>
      </c>
      <c r="D125" s="2">
        <v>64246</v>
      </c>
      <c r="E125" s="3" t="s">
        <v>341</v>
      </c>
      <c r="F125" s="1">
        <v>32365</v>
      </c>
      <c r="G125" t="s">
        <v>328</v>
      </c>
      <c r="H125" t="s">
        <v>329</v>
      </c>
      <c r="I125" s="1">
        <v>41589</v>
      </c>
      <c r="K125" t="s">
        <v>330</v>
      </c>
      <c r="L125" t="s">
        <v>331</v>
      </c>
      <c r="M125" t="s">
        <v>332</v>
      </c>
      <c r="N125" t="s">
        <v>371</v>
      </c>
      <c r="O125">
        <f ca="1">DATEDIF(HRDataset_clean[[#This Row],[DOB]], TODAY(), "Y")</f>
        <v>37</v>
      </c>
      <c r="P125">
        <f ca="1">DATEDIF(HRDataset_clean[[#This Row],[DateofHire]], IF(HRDataset_clean[[#This Row],[DateofTermination]]="", TODAY(),HRDataset_clean[[#This Row],[DateofTermination]]),"Y")</f>
        <v>12</v>
      </c>
    </row>
    <row r="126" spans="1:16" x14ac:dyDescent="0.35">
      <c r="A126" t="s">
        <v>520</v>
      </c>
      <c r="B126">
        <v>10097</v>
      </c>
      <c r="C126">
        <v>0</v>
      </c>
      <c r="D126" s="2">
        <v>52177</v>
      </c>
      <c r="E126" s="3" t="s">
        <v>327</v>
      </c>
      <c r="F126" s="1">
        <v>19224</v>
      </c>
      <c r="G126" t="s">
        <v>342</v>
      </c>
      <c r="H126" t="s">
        <v>329</v>
      </c>
      <c r="I126" s="1">
        <v>40917</v>
      </c>
      <c r="J126" s="1">
        <v>42353</v>
      </c>
      <c r="K126" t="s">
        <v>397</v>
      </c>
      <c r="L126" t="s">
        <v>337</v>
      </c>
      <c r="M126" t="s">
        <v>332</v>
      </c>
      <c r="N126" t="s">
        <v>349</v>
      </c>
      <c r="O126">
        <f ca="1">DATEDIF(HRDataset_clean[[#This Row],[DOB]], TODAY(), "Y")</f>
        <v>73</v>
      </c>
      <c r="P126">
        <f ca="1">DATEDIF(HRDataset_clean[[#This Row],[DateofHire]], IF(HRDataset_clean[[#This Row],[DateofTermination]]="", TODAY(),HRDataset_clean[[#This Row],[DateofTermination]]),"Y")</f>
        <v>3</v>
      </c>
    </row>
    <row r="127" spans="1:16" x14ac:dyDescent="0.35">
      <c r="A127" t="s">
        <v>521</v>
      </c>
      <c r="B127">
        <v>10007</v>
      </c>
      <c r="C127">
        <v>0</v>
      </c>
      <c r="D127" s="2">
        <v>62065</v>
      </c>
      <c r="E127" s="3" t="s">
        <v>327</v>
      </c>
      <c r="F127" s="1">
        <v>27151</v>
      </c>
      <c r="G127" t="s">
        <v>342</v>
      </c>
      <c r="H127" t="s">
        <v>329</v>
      </c>
      <c r="I127" s="1">
        <v>41771</v>
      </c>
      <c r="K127" t="s">
        <v>330</v>
      </c>
      <c r="L127" t="s">
        <v>331</v>
      </c>
      <c r="M127" t="s">
        <v>332</v>
      </c>
      <c r="N127" t="s">
        <v>351</v>
      </c>
      <c r="O127">
        <f ca="1">DATEDIF(HRDataset_clean[[#This Row],[DOB]], TODAY(), "Y")</f>
        <v>51</v>
      </c>
      <c r="P127">
        <f ca="1">DATEDIF(HRDataset_clean[[#This Row],[DateofHire]], IF(HRDataset_clean[[#This Row],[DateofTermination]]="", TODAY(),HRDataset_clean[[#This Row],[DateofTermination]]),"Y")</f>
        <v>11</v>
      </c>
    </row>
    <row r="128" spans="1:16" x14ac:dyDescent="0.35">
      <c r="A128" t="s">
        <v>522</v>
      </c>
      <c r="B128">
        <v>10129</v>
      </c>
      <c r="C128">
        <v>1</v>
      </c>
      <c r="D128" s="2">
        <v>46998</v>
      </c>
      <c r="E128" s="3" t="s">
        <v>327</v>
      </c>
      <c r="F128" s="1">
        <v>30685</v>
      </c>
      <c r="G128" t="s">
        <v>328</v>
      </c>
      <c r="H128" t="s">
        <v>329</v>
      </c>
      <c r="I128" s="1">
        <v>41134</v>
      </c>
      <c r="K128" t="s">
        <v>330</v>
      </c>
      <c r="L128" t="s">
        <v>331</v>
      </c>
      <c r="M128" t="s">
        <v>332</v>
      </c>
      <c r="N128" t="s">
        <v>357</v>
      </c>
      <c r="O128">
        <f ca="1">DATEDIF(HRDataset_clean[[#This Row],[DOB]], TODAY(), "Y")</f>
        <v>41</v>
      </c>
      <c r="P128">
        <f ca="1">DATEDIF(HRDataset_clean[[#This Row],[DateofHire]], IF(HRDataset_clean[[#This Row],[DateofTermination]]="", TODAY(),HRDataset_clean[[#This Row],[DateofTermination]]),"Y")</f>
        <v>13</v>
      </c>
    </row>
    <row r="129" spans="1:16" x14ac:dyDescent="0.35">
      <c r="A129" t="s">
        <v>523</v>
      </c>
      <c r="B129">
        <v>10075</v>
      </c>
      <c r="C129">
        <v>0</v>
      </c>
      <c r="D129" s="2">
        <v>68099</v>
      </c>
      <c r="E129" s="3" t="s">
        <v>341</v>
      </c>
      <c r="F129" s="1">
        <v>26538</v>
      </c>
      <c r="G129" t="s">
        <v>342</v>
      </c>
      <c r="H129" t="s">
        <v>329</v>
      </c>
      <c r="I129" s="1">
        <v>40553</v>
      </c>
      <c r="J129" s="1">
        <v>41443</v>
      </c>
      <c r="K129" t="s">
        <v>343</v>
      </c>
      <c r="L129" t="s">
        <v>337</v>
      </c>
      <c r="M129" t="s">
        <v>332</v>
      </c>
      <c r="N129" t="s">
        <v>371</v>
      </c>
      <c r="O129">
        <f ca="1">DATEDIF(HRDataset_clean[[#This Row],[DOB]], TODAY(), "Y")</f>
        <v>53</v>
      </c>
      <c r="P129">
        <f ca="1">DATEDIF(HRDataset_clean[[#This Row],[DateofHire]], IF(HRDataset_clean[[#This Row],[DateofTermination]]="", TODAY(),HRDataset_clean[[#This Row],[DateofTermination]]),"Y")</f>
        <v>2</v>
      </c>
    </row>
    <row r="130" spans="1:16" x14ac:dyDescent="0.35">
      <c r="A130" t="s">
        <v>524</v>
      </c>
      <c r="B130">
        <v>10167</v>
      </c>
      <c r="C130">
        <v>1</v>
      </c>
      <c r="D130" s="2">
        <v>70545</v>
      </c>
      <c r="E130" s="3" t="s">
        <v>405</v>
      </c>
      <c r="F130" s="1">
        <v>32400</v>
      </c>
      <c r="G130" t="s">
        <v>328</v>
      </c>
      <c r="H130" t="s">
        <v>329</v>
      </c>
      <c r="I130" s="1">
        <v>41869</v>
      </c>
      <c r="K130" t="s">
        <v>330</v>
      </c>
      <c r="L130" t="s">
        <v>331</v>
      </c>
      <c r="M130" t="s">
        <v>406</v>
      </c>
      <c r="N130" t="s">
        <v>407</v>
      </c>
      <c r="O130">
        <f ca="1">DATEDIF(HRDataset_clean[[#This Row],[DOB]], TODAY(), "Y")</f>
        <v>37</v>
      </c>
      <c r="P130">
        <f ca="1">DATEDIF(HRDataset_clean[[#This Row],[DateofHire]], IF(HRDataset_clean[[#This Row],[DateofTermination]]="", TODAY(),HRDataset_clean[[#This Row],[DateofTermination]]),"Y")</f>
        <v>11</v>
      </c>
    </row>
    <row r="131" spans="1:16" x14ac:dyDescent="0.35">
      <c r="A131" t="s">
        <v>525</v>
      </c>
      <c r="B131">
        <v>10195</v>
      </c>
      <c r="C131">
        <v>0</v>
      </c>
      <c r="D131" s="2">
        <v>63478</v>
      </c>
      <c r="E131" s="3" t="s">
        <v>341</v>
      </c>
      <c r="F131" s="1">
        <v>30728</v>
      </c>
      <c r="G131" t="s">
        <v>342</v>
      </c>
      <c r="H131" t="s">
        <v>428</v>
      </c>
      <c r="I131" s="1">
        <v>40770</v>
      </c>
      <c r="J131" s="1">
        <v>41006</v>
      </c>
      <c r="K131" t="s">
        <v>426</v>
      </c>
      <c r="L131" t="s">
        <v>337</v>
      </c>
      <c r="M131" t="s">
        <v>332</v>
      </c>
      <c r="N131" t="s">
        <v>333</v>
      </c>
      <c r="O131">
        <f ca="1">DATEDIF(HRDataset_clean[[#This Row],[DOB]], TODAY(), "Y")</f>
        <v>41</v>
      </c>
      <c r="P131">
        <f ca="1">DATEDIF(HRDataset_clean[[#This Row],[DateofHire]], IF(HRDataset_clean[[#This Row],[DateofTermination]]="", TODAY(),HRDataset_clean[[#This Row],[DateofTermination]]),"Y")</f>
        <v>0</v>
      </c>
    </row>
    <row r="132" spans="1:16" x14ac:dyDescent="0.35">
      <c r="A132" t="s">
        <v>526</v>
      </c>
      <c r="B132">
        <v>10112</v>
      </c>
      <c r="C132">
        <v>0</v>
      </c>
      <c r="D132" s="2">
        <v>97999</v>
      </c>
      <c r="E132" s="3" t="s">
        <v>380</v>
      </c>
      <c r="F132" s="1">
        <v>30733</v>
      </c>
      <c r="G132" t="s">
        <v>342</v>
      </c>
      <c r="H132" t="s">
        <v>329</v>
      </c>
      <c r="I132" s="1">
        <v>42093</v>
      </c>
      <c r="K132" t="s">
        <v>330</v>
      </c>
      <c r="L132" t="s">
        <v>331</v>
      </c>
      <c r="M132" t="s">
        <v>338</v>
      </c>
      <c r="N132" t="s">
        <v>339</v>
      </c>
      <c r="O132">
        <f ca="1">DATEDIF(HRDataset_clean[[#This Row],[DOB]], TODAY(), "Y")</f>
        <v>41</v>
      </c>
      <c r="P132">
        <f ca="1">DATEDIF(HRDataset_clean[[#This Row],[DateofHire]], IF(HRDataset_clean[[#This Row],[DateofTermination]]="", TODAY(),HRDataset_clean[[#This Row],[DateofTermination]]),"Y")</f>
        <v>10</v>
      </c>
    </row>
    <row r="133" spans="1:16" x14ac:dyDescent="0.35">
      <c r="A133" t="s">
        <v>527</v>
      </c>
      <c r="B133">
        <v>10272</v>
      </c>
      <c r="C133">
        <v>0</v>
      </c>
      <c r="D133" s="2">
        <v>180000</v>
      </c>
      <c r="E133" s="3" t="s">
        <v>528</v>
      </c>
      <c r="F133" s="1">
        <v>24183</v>
      </c>
      <c r="G133" t="s">
        <v>342</v>
      </c>
      <c r="H133" t="s">
        <v>329</v>
      </c>
      <c r="I133" s="1">
        <v>41764</v>
      </c>
      <c r="K133" t="s">
        <v>330</v>
      </c>
      <c r="L133" t="s">
        <v>331</v>
      </c>
      <c r="M133" t="s">
        <v>406</v>
      </c>
      <c r="N133" t="s">
        <v>398</v>
      </c>
      <c r="O133">
        <f ca="1">DATEDIF(HRDataset_clean[[#This Row],[DOB]], TODAY(), "Y")</f>
        <v>59</v>
      </c>
      <c r="P133">
        <f ca="1">DATEDIF(HRDataset_clean[[#This Row],[DateofHire]], IF(HRDataset_clean[[#This Row],[DateofTermination]]="", TODAY(),HRDataset_clean[[#This Row],[DateofTermination]]),"Y")</f>
        <v>11</v>
      </c>
    </row>
    <row r="134" spans="1:16" x14ac:dyDescent="0.35">
      <c r="A134" t="s">
        <v>529</v>
      </c>
      <c r="B134">
        <v>10182</v>
      </c>
      <c r="C134">
        <v>0</v>
      </c>
      <c r="D134" s="2">
        <v>49920</v>
      </c>
      <c r="E134" s="3" t="s">
        <v>530</v>
      </c>
      <c r="F134" s="1">
        <v>31306</v>
      </c>
      <c r="G134" t="s">
        <v>342</v>
      </c>
      <c r="H134" t="s">
        <v>329</v>
      </c>
      <c r="I134" s="1">
        <v>42051</v>
      </c>
      <c r="J134" s="1">
        <v>42109</v>
      </c>
      <c r="K134" t="s">
        <v>477</v>
      </c>
      <c r="L134" t="s">
        <v>375</v>
      </c>
      <c r="M134" t="s">
        <v>393</v>
      </c>
      <c r="N134" t="s">
        <v>394</v>
      </c>
      <c r="O134">
        <f ca="1">DATEDIF(HRDataset_clean[[#This Row],[DOB]], TODAY(), "Y")</f>
        <v>40</v>
      </c>
      <c r="P134">
        <f ca="1">DATEDIF(HRDataset_clean[[#This Row],[DateofHire]], IF(HRDataset_clean[[#This Row],[DateofTermination]]="", TODAY(),HRDataset_clean[[#This Row],[DateofTermination]]),"Y")</f>
        <v>0</v>
      </c>
    </row>
    <row r="135" spans="1:16" x14ac:dyDescent="0.35">
      <c r="A135" t="s">
        <v>531</v>
      </c>
      <c r="B135">
        <v>10248</v>
      </c>
      <c r="C135">
        <v>0</v>
      </c>
      <c r="D135" s="2">
        <v>55425</v>
      </c>
      <c r="E135" s="3" t="s">
        <v>327</v>
      </c>
      <c r="F135" s="1">
        <v>31573</v>
      </c>
      <c r="G135" t="s">
        <v>342</v>
      </c>
      <c r="H135" t="s">
        <v>329</v>
      </c>
      <c r="I135" s="1">
        <v>40959</v>
      </c>
      <c r="K135" t="s">
        <v>330</v>
      </c>
      <c r="L135" t="s">
        <v>331</v>
      </c>
      <c r="M135" t="s">
        <v>332</v>
      </c>
      <c r="N135" t="s">
        <v>357</v>
      </c>
      <c r="O135">
        <f ca="1">DATEDIF(HRDataset_clean[[#This Row],[DOB]], TODAY(), "Y")</f>
        <v>39</v>
      </c>
      <c r="P135">
        <f ca="1">DATEDIF(HRDataset_clean[[#This Row],[DateofHire]], IF(HRDataset_clean[[#This Row],[DateofTermination]]="", TODAY(),HRDataset_clean[[#This Row],[DateofTermination]]),"Y")</f>
        <v>13</v>
      </c>
    </row>
    <row r="136" spans="1:16" x14ac:dyDescent="0.35">
      <c r="A136" t="s">
        <v>532</v>
      </c>
      <c r="B136">
        <v>10201</v>
      </c>
      <c r="C136">
        <v>0</v>
      </c>
      <c r="D136" s="2">
        <v>69340</v>
      </c>
      <c r="E136" s="3" t="s">
        <v>341</v>
      </c>
      <c r="F136" s="1">
        <v>30752</v>
      </c>
      <c r="G136" t="s">
        <v>342</v>
      </c>
      <c r="H136" t="s">
        <v>329</v>
      </c>
      <c r="I136" s="1">
        <v>42527</v>
      </c>
      <c r="K136" t="s">
        <v>330</v>
      </c>
      <c r="L136" t="s">
        <v>331</v>
      </c>
      <c r="M136" t="s">
        <v>332</v>
      </c>
      <c r="N136" t="s">
        <v>346</v>
      </c>
      <c r="O136">
        <f ca="1">DATEDIF(HRDataset_clean[[#This Row],[DOB]], TODAY(), "Y")</f>
        <v>41</v>
      </c>
      <c r="P136">
        <f ca="1">DATEDIF(HRDataset_clean[[#This Row],[DateofHire]], IF(HRDataset_clean[[#This Row],[DateofTermination]]="", TODAY(),HRDataset_clean[[#This Row],[DateofTermination]]),"Y")</f>
        <v>9</v>
      </c>
    </row>
    <row r="137" spans="1:16" x14ac:dyDescent="0.35">
      <c r="A137" t="s">
        <v>533</v>
      </c>
      <c r="B137">
        <v>10214</v>
      </c>
      <c r="C137">
        <v>0</v>
      </c>
      <c r="D137" s="2">
        <v>64995</v>
      </c>
      <c r="E137" s="3" t="s">
        <v>341</v>
      </c>
      <c r="F137" s="1">
        <v>33731</v>
      </c>
      <c r="G137" t="s">
        <v>342</v>
      </c>
      <c r="H137" t="s">
        <v>329</v>
      </c>
      <c r="I137" s="1">
        <v>42160</v>
      </c>
      <c r="K137" t="s">
        <v>330</v>
      </c>
      <c r="L137" t="s">
        <v>331</v>
      </c>
      <c r="M137" t="s">
        <v>332</v>
      </c>
      <c r="N137" t="s">
        <v>349</v>
      </c>
      <c r="O137">
        <f ca="1">DATEDIF(HRDataset_clean[[#This Row],[DOB]], TODAY(), "Y")</f>
        <v>33</v>
      </c>
      <c r="P137">
        <f ca="1">DATEDIF(HRDataset_clean[[#This Row],[DateofHire]], IF(HRDataset_clean[[#This Row],[DateofTermination]]="", TODAY(),HRDataset_clean[[#This Row],[DateofTermination]]),"Y")</f>
        <v>10</v>
      </c>
    </row>
    <row r="138" spans="1:16" x14ac:dyDescent="0.35">
      <c r="A138" t="s">
        <v>534</v>
      </c>
      <c r="B138">
        <v>10160</v>
      </c>
      <c r="C138">
        <v>0</v>
      </c>
      <c r="D138" s="2">
        <v>68182</v>
      </c>
      <c r="E138" s="3" t="s">
        <v>341</v>
      </c>
      <c r="F138" s="1">
        <v>28025</v>
      </c>
      <c r="G138" t="s">
        <v>342</v>
      </c>
      <c r="H138" t="s">
        <v>329</v>
      </c>
      <c r="I138" s="1">
        <v>40595</v>
      </c>
      <c r="J138" s="1">
        <v>41365</v>
      </c>
      <c r="K138" t="s">
        <v>367</v>
      </c>
      <c r="L138" t="s">
        <v>337</v>
      </c>
      <c r="M138" t="s">
        <v>332</v>
      </c>
      <c r="N138" t="s">
        <v>351</v>
      </c>
      <c r="O138">
        <f ca="1">DATEDIF(HRDataset_clean[[#This Row],[DOB]], TODAY(), "Y")</f>
        <v>49</v>
      </c>
      <c r="P138">
        <f ca="1">DATEDIF(HRDataset_clean[[#This Row],[DateofHire]], IF(HRDataset_clean[[#This Row],[DateofTermination]]="", TODAY(),HRDataset_clean[[#This Row],[DateofTermination]]),"Y")</f>
        <v>2</v>
      </c>
    </row>
    <row r="139" spans="1:16" x14ac:dyDescent="0.35">
      <c r="A139" t="s">
        <v>535</v>
      </c>
      <c r="B139">
        <v>10289</v>
      </c>
      <c r="C139">
        <v>1</v>
      </c>
      <c r="D139" s="2">
        <v>83082</v>
      </c>
      <c r="E139" s="3" t="s">
        <v>396</v>
      </c>
      <c r="F139" s="1">
        <v>28079</v>
      </c>
      <c r="G139" t="s">
        <v>328</v>
      </c>
      <c r="H139" t="s">
        <v>329</v>
      </c>
      <c r="I139" s="1">
        <v>40595</v>
      </c>
      <c r="J139" s="1">
        <v>41176</v>
      </c>
      <c r="K139" t="s">
        <v>367</v>
      </c>
      <c r="L139" t="s">
        <v>337</v>
      </c>
      <c r="M139" t="s">
        <v>332</v>
      </c>
      <c r="N139" t="s">
        <v>398</v>
      </c>
      <c r="O139">
        <f ca="1">DATEDIF(HRDataset_clean[[#This Row],[DOB]], TODAY(), "Y")</f>
        <v>49</v>
      </c>
      <c r="P139">
        <f ca="1">DATEDIF(HRDataset_clean[[#This Row],[DateofHire]], IF(HRDataset_clean[[#This Row],[DateofTermination]]="", TODAY(),HRDataset_clean[[#This Row],[DateofTermination]]),"Y")</f>
        <v>1</v>
      </c>
    </row>
    <row r="140" spans="1:16" x14ac:dyDescent="0.35">
      <c r="A140" t="s">
        <v>536</v>
      </c>
      <c r="B140">
        <v>10139</v>
      </c>
      <c r="C140">
        <v>0</v>
      </c>
      <c r="D140" s="2">
        <v>51908</v>
      </c>
      <c r="E140" s="3" t="s">
        <v>327</v>
      </c>
      <c r="F140" s="1">
        <v>33266</v>
      </c>
      <c r="G140" t="s">
        <v>342</v>
      </c>
      <c r="H140" t="s">
        <v>329</v>
      </c>
      <c r="I140" s="1">
        <v>41505</v>
      </c>
      <c r="K140" t="s">
        <v>330</v>
      </c>
      <c r="L140" t="s">
        <v>331</v>
      </c>
      <c r="M140" t="s">
        <v>332</v>
      </c>
      <c r="N140" t="s">
        <v>359</v>
      </c>
      <c r="O140">
        <f ca="1">DATEDIF(HRDataset_clean[[#This Row],[DOB]], TODAY(), "Y")</f>
        <v>34</v>
      </c>
      <c r="P140">
        <f ca="1">DATEDIF(HRDataset_clean[[#This Row],[DateofHire]], IF(HRDataset_clean[[#This Row],[DateofTermination]]="", TODAY(),HRDataset_clean[[#This Row],[DateofTermination]]),"Y")</f>
        <v>12</v>
      </c>
    </row>
    <row r="141" spans="1:16" x14ac:dyDescent="0.35">
      <c r="A141" t="s">
        <v>537</v>
      </c>
      <c r="B141">
        <v>10227</v>
      </c>
      <c r="C141">
        <v>0</v>
      </c>
      <c r="D141" s="2">
        <v>61242</v>
      </c>
      <c r="E141" s="3" t="s">
        <v>327</v>
      </c>
      <c r="F141" s="1">
        <v>26553</v>
      </c>
      <c r="G141" t="s">
        <v>342</v>
      </c>
      <c r="H141" t="s">
        <v>329</v>
      </c>
      <c r="I141" s="1">
        <v>41218</v>
      </c>
      <c r="K141" t="s">
        <v>330</v>
      </c>
      <c r="L141" t="s">
        <v>331</v>
      </c>
      <c r="M141" t="s">
        <v>332</v>
      </c>
      <c r="N141" t="s">
        <v>365</v>
      </c>
      <c r="O141">
        <f ca="1">DATEDIF(HRDataset_clean[[#This Row],[DOB]], TODAY(), "Y")</f>
        <v>53</v>
      </c>
      <c r="P141">
        <f ca="1">DATEDIF(HRDataset_clean[[#This Row],[DateofHire]], IF(HRDataset_clean[[#This Row],[DateofTermination]]="", TODAY(),HRDataset_clean[[#This Row],[DateofTermination]]),"Y")</f>
        <v>13</v>
      </c>
    </row>
    <row r="142" spans="1:16" x14ac:dyDescent="0.35">
      <c r="A142" t="s">
        <v>538</v>
      </c>
      <c r="B142">
        <v>10236</v>
      </c>
      <c r="C142">
        <v>0</v>
      </c>
      <c r="D142" s="2">
        <v>45069</v>
      </c>
      <c r="E142" s="3" t="s">
        <v>327</v>
      </c>
      <c r="F142" s="1">
        <v>24188</v>
      </c>
      <c r="G142" t="s">
        <v>342</v>
      </c>
      <c r="H142" t="s">
        <v>329</v>
      </c>
      <c r="I142" s="1">
        <v>41547</v>
      </c>
      <c r="K142" t="s">
        <v>330</v>
      </c>
      <c r="L142" t="s">
        <v>331</v>
      </c>
      <c r="M142" t="s">
        <v>332</v>
      </c>
      <c r="N142" t="s">
        <v>344</v>
      </c>
      <c r="O142">
        <f ca="1">DATEDIF(HRDataset_clean[[#This Row],[DOB]], TODAY(), "Y")</f>
        <v>59</v>
      </c>
      <c r="P142">
        <f ca="1">DATEDIF(HRDataset_clean[[#This Row],[DateofHire]], IF(HRDataset_clean[[#This Row],[DateofTermination]]="", TODAY(),HRDataset_clean[[#This Row],[DateofTermination]]),"Y")</f>
        <v>12</v>
      </c>
    </row>
    <row r="143" spans="1:16" x14ac:dyDescent="0.35">
      <c r="A143" t="s">
        <v>539</v>
      </c>
      <c r="B143">
        <v>10009</v>
      </c>
      <c r="C143">
        <v>0</v>
      </c>
      <c r="D143" s="2">
        <v>60724</v>
      </c>
      <c r="E143" s="3" t="s">
        <v>341</v>
      </c>
      <c r="F143" s="1">
        <v>31722</v>
      </c>
      <c r="G143" t="s">
        <v>342</v>
      </c>
      <c r="H143" t="s">
        <v>329</v>
      </c>
      <c r="I143" s="1">
        <v>40729</v>
      </c>
      <c r="K143" t="s">
        <v>330</v>
      </c>
      <c r="L143" t="s">
        <v>331</v>
      </c>
      <c r="M143" t="s">
        <v>332</v>
      </c>
      <c r="N143" t="s">
        <v>357</v>
      </c>
      <c r="O143">
        <f ca="1">DATEDIF(HRDataset_clean[[#This Row],[DOB]], TODAY(), "Y")</f>
        <v>39</v>
      </c>
      <c r="P143">
        <f ca="1">DATEDIF(HRDataset_clean[[#This Row],[DateofHire]], IF(HRDataset_clean[[#This Row],[DateofTermination]]="", TODAY(),HRDataset_clean[[#This Row],[DateofTermination]]),"Y")</f>
        <v>14</v>
      </c>
    </row>
    <row r="144" spans="1:16" x14ac:dyDescent="0.35">
      <c r="A144" t="s">
        <v>540</v>
      </c>
      <c r="B144">
        <v>10060</v>
      </c>
      <c r="C144">
        <v>0</v>
      </c>
      <c r="D144" s="2">
        <v>60436</v>
      </c>
      <c r="E144" s="3" t="s">
        <v>327</v>
      </c>
      <c r="F144" s="1">
        <v>23480</v>
      </c>
      <c r="G144" t="s">
        <v>342</v>
      </c>
      <c r="H144" t="s">
        <v>329</v>
      </c>
      <c r="I144" s="1">
        <v>41645</v>
      </c>
      <c r="K144" t="s">
        <v>330</v>
      </c>
      <c r="L144" t="s">
        <v>331</v>
      </c>
      <c r="M144" t="s">
        <v>332</v>
      </c>
      <c r="N144" t="s">
        <v>371</v>
      </c>
      <c r="O144">
        <f ca="1">DATEDIF(HRDataset_clean[[#This Row],[DOB]], TODAY(), "Y")</f>
        <v>61</v>
      </c>
      <c r="P144">
        <f ca="1">DATEDIF(HRDataset_clean[[#This Row],[DateofHire]], IF(HRDataset_clean[[#This Row],[DateofTermination]]="", TODAY(),HRDataset_clean[[#This Row],[DateofTermination]]),"Y")</f>
        <v>11</v>
      </c>
    </row>
    <row r="145" spans="1:16" x14ac:dyDescent="0.35">
      <c r="A145" t="s">
        <v>541</v>
      </c>
      <c r="B145">
        <v>10034</v>
      </c>
      <c r="C145">
        <v>1</v>
      </c>
      <c r="D145" s="2">
        <v>46837</v>
      </c>
      <c r="E145" s="3" t="s">
        <v>327</v>
      </c>
      <c r="F145" s="1">
        <v>21781</v>
      </c>
      <c r="G145" t="s">
        <v>328</v>
      </c>
      <c r="H145" t="s">
        <v>329</v>
      </c>
      <c r="I145" s="1">
        <v>40854</v>
      </c>
      <c r="J145" s="1">
        <v>43219</v>
      </c>
      <c r="K145" t="s">
        <v>455</v>
      </c>
      <c r="L145" t="s">
        <v>337</v>
      </c>
      <c r="M145" t="s">
        <v>332</v>
      </c>
      <c r="N145" t="s">
        <v>333</v>
      </c>
      <c r="O145">
        <f ca="1">DATEDIF(HRDataset_clean[[#This Row],[DOB]], TODAY(), "Y")</f>
        <v>66</v>
      </c>
      <c r="P145">
        <f ca="1">DATEDIF(HRDataset_clean[[#This Row],[DateofHire]], IF(HRDataset_clean[[#This Row],[DateofTermination]]="", TODAY(),HRDataset_clean[[#This Row],[DateofTermination]]),"Y")</f>
        <v>6</v>
      </c>
    </row>
    <row r="146" spans="1:16" x14ac:dyDescent="0.35">
      <c r="A146" t="s">
        <v>542</v>
      </c>
      <c r="B146">
        <v>10156</v>
      </c>
      <c r="C146">
        <v>0</v>
      </c>
      <c r="D146" s="2">
        <v>105700</v>
      </c>
      <c r="E146" s="3" t="s">
        <v>380</v>
      </c>
      <c r="F146" s="1">
        <v>31723</v>
      </c>
      <c r="G146" t="s">
        <v>342</v>
      </c>
      <c r="H146" t="s">
        <v>329</v>
      </c>
      <c r="I146" s="1">
        <v>42009</v>
      </c>
      <c r="K146" t="s">
        <v>330</v>
      </c>
      <c r="L146" t="s">
        <v>331</v>
      </c>
      <c r="M146" t="s">
        <v>338</v>
      </c>
      <c r="N146" t="s">
        <v>339</v>
      </c>
      <c r="O146">
        <f ca="1">DATEDIF(HRDataset_clean[[#This Row],[DOB]], TODAY(), "Y")</f>
        <v>39</v>
      </c>
      <c r="P146">
        <f ca="1">DATEDIF(HRDataset_clean[[#This Row],[DateofHire]], IF(HRDataset_clean[[#This Row],[DateofTermination]]="", TODAY(),HRDataset_clean[[#This Row],[DateofTermination]]),"Y")</f>
        <v>10</v>
      </c>
    </row>
    <row r="147" spans="1:16" x14ac:dyDescent="0.35">
      <c r="A147" t="s">
        <v>543</v>
      </c>
      <c r="B147">
        <v>10036</v>
      </c>
      <c r="C147">
        <v>0</v>
      </c>
      <c r="D147" s="2">
        <v>63322</v>
      </c>
      <c r="E147" s="3" t="s">
        <v>341</v>
      </c>
      <c r="F147" s="1">
        <v>25454</v>
      </c>
      <c r="G147" t="s">
        <v>342</v>
      </c>
      <c r="H147" t="s">
        <v>329</v>
      </c>
      <c r="I147" s="1">
        <v>41827</v>
      </c>
      <c r="K147" t="s">
        <v>330</v>
      </c>
      <c r="L147" t="s">
        <v>331</v>
      </c>
      <c r="M147" t="s">
        <v>332</v>
      </c>
      <c r="N147" t="s">
        <v>359</v>
      </c>
      <c r="O147">
        <f ca="1">DATEDIF(HRDataset_clean[[#This Row],[DOB]], TODAY(), "Y")</f>
        <v>56</v>
      </c>
      <c r="P147">
        <f ca="1">DATEDIF(HRDataset_clean[[#This Row],[DateofHire]], IF(HRDataset_clean[[#This Row],[DateofTermination]]="", TODAY(),HRDataset_clean[[#This Row],[DateofTermination]]),"Y")</f>
        <v>11</v>
      </c>
    </row>
    <row r="148" spans="1:16" x14ac:dyDescent="0.35">
      <c r="A148" t="s">
        <v>544</v>
      </c>
      <c r="B148">
        <v>10138</v>
      </c>
      <c r="C148">
        <v>0</v>
      </c>
      <c r="D148" s="2">
        <v>61154</v>
      </c>
      <c r="E148" s="3" t="s">
        <v>327</v>
      </c>
      <c r="F148" s="1">
        <v>31519</v>
      </c>
      <c r="G148" t="s">
        <v>342</v>
      </c>
      <c r="H148" t="s">
        <v>329</v>
      </c>
      <c r="I148" s="1">
        <v>40553</v>
      </c>
      <c r="J148" s="1">
        <v>42461</v>
      </c>
      <c r="K148" t="s">
        <v>367</v>
      </c>
      <c r="L148" t="s">
        <v>337</v>
      </c>
      <c r="M148" t="s">
        <v>332</v>
      </c>
      <c r="N148" t="s">
        <v>346</v>
      </c>
      <c r="O148">
        <f ca="1">DATEDIF(HRDataset_clean[[#This Row],[DOB]], TODAY(), "Y")</f>
        <v>39</v>
      </c>
      <c r="P148">
        <f ca="1">DATEDIF(HRDataset_clean[[#This Row],[DateofHire]], IF(HRDataset_clean[[#This Row],[DateofTermination]]="", TODAY(),HRDataset_clean[[#This Row],[DateofTermination]]),"Y")</f>
        <v>5</v>
      </c>
    </row>
    <row r="149" spans="1:16" x14ac:dyDescent="0.35">
      <c r="A149" t="s">
        <v>545</v>
      </c>
      <c r="B149">
        <v>10244</v>
      </c>
      <c r="C149">
        <v>0</v>
      </c>
      <c r="D149" s="2">
        <v>68999</v>
      </c>
      <c r="E149" s="3" t="s">
        <v>445</v>
      </c>
      <c r="F149" s="1">
        <v>32823</v>
      </c>
      <c r="G149" t="s">
        <v>342</v>
      </c>
      <c r="H149" t="s">
        <v>329</v>
      </c>
      <c r="I149" s="1">
        <v>40854</v>
      </c>
      <c r="J149" s="1">
        <v>41753</v>
      </c>
      <c r="K149" t="s">
        <v>546</v>
      </c>
      <c r="L149" t="s">
        <v>337</v>
      </c>
      <c r="M149" t="s">
        <v>406</v>
      </c>
      <c r="N149" t="s">
        <v>446</v>
      </c>
      <c r="O149">
        <f ca="1">DATEDIF(HRDataset_clean[[#This Row],[DOB]], TODAY(), "Y")</f>
        <v>36</v>
      </c>
      <c r="P149">
        <f ca="1">DATEDIF(HRDataset_clean[[#This Row],[DateofHire]], IF(HRDataset_clean[[#This Row],[DateofTermination]]="", TODAY(),HRDataset_clean[[#This Row],[DateofTermination]]),"Y")</f>
        <v>2</v>
      </c>
    </row>
    <row r="150" spans="1:16" x14ac:dyDescent="0.35">
      <c r="A150" t="s">
        <v>547</v>
      </c>
      <c r="B150">
        <v>10192</v>
      </c>
      <c r="C150">
        <v>1</v>
      </c>
      <c r="D150" s="2">
        <v>50482</v>
      </c>
      <c r="E150" s="3" t="s">
        <v>327</v>
      </c>
      <c r="F150" s="1">
        <v>27778</v>
      </c>
      <c r="G150" t="s">
        <v>328</v>
      </c>
      <c r="H150" t="s">
        <v>329</v>
      </c>
      <c r="I150" s="1">
        <v>41547</v>
      </c>
      <c r="K150" t="s">
        <v>330</v>
      </c>
      <c r="L150" t="s">
        <v>331</v>
      </c>
      <c r="M150" t="s">
        <v>332</v>
      </c>
      <c r="N150" t="s">
        <v>333</v>
      </c>
      <c r="O150">
        <f ca="1">DATEDIF(HRDataset_clean[[#This Row],[DOB]], TODAY(), "Y")</f>
        <v>49</v>
      </c>
      <c r="P150">
        <f ca="1">DATEDIF(HRDataset_clean[[#This Row],[DateofHire]], IF(HRDataset_clean[[#This Row],[DateofTermination]]="", TODAY(),HRDataset_clean[[#This Row],[DateofTermination]]),"Y")</f>
        <v>12</v>
      </c>
    </row>
    <row r="151" spans="1:16" x14ac:dyDescent="0.35">
      <c r="A151" t="s">
        <v>548</v>
      </c>
      <c r="B151">
        <v>10231</v>
      </c>
      <c r="C151">
        <v>1</v>
      </c>
      <c r="D151" s="2">
        <v>65310</v>
      </c>
      <c r="E151" s="3" t="s">
        <v>405</v>
      </c>
      <c r="F151" s="1">
        <v>29186</v>
      </c>
      <c r="G151" t="s">
        <v>328</v>
      </c>
      <c r="H151" t="s">
        <v>329</v>
      </c>
      <c r="I151" s="1">
        <v>41505</v>
      </c>
      <c r="K151" t="s">
        <v>330</v>
      </c>
      <c r="L151" t="s">
        <v>331</v>
      </c>
      <c r="M151" t="s">
        <v>406</v>
      </c>
      <c r="N151" t="s">
        <v>424</v>
      </c>
      <c r="O151">
        <f ca="1">DATEDIF(HRDataset_clean[[#This Row],[DOB]], TODAY(), "Y")</f>
        <v>46</v>
      </c>
      <c r="P151">
        <f ca="1">DATEDIF(HRDataset_clean[[#This Row],[DateofHire]], IF(HRDataset_clean[[#This Row],[DateofTermination]]="", TODAY(),HRDataset_clean[[#This Row],[DateofTermination]]),"Y")</f>
        <v>12</v>
      </c>
    </row>
    <row r="152" spans="1:16" x14ac:dyDescent="0.35">
      <c r="A152" t="s">
        <v>549</v>
      </c>
      <c r="B152">
        <v>10089</v>
      </c>
      <c r="C152">
        <v>0</v>
      </c>
      <c r="D152" s="2">
        <v>250000</v>
      </c>
      <c r="E152" s="3" t="s">
        <v>550</v>
      </c>
      <c r="F152" s="1">
        <v>19988</v>
      </c>
      <c r="G152" t="s">
        <v>342</v>
      </c>
      <c r="H152" t="s">
        <v>329</v>
      </c>
      <c r="I152" s="1">
        <v>41092</v>
      </c>
      <c r="K152" t="s">
        <v>330</v>
      </c>
      <c r="L152" t="s">
        <v>331</v>
      </c>
      <c r="M152" t="s">
        <v>551</v>
      </c>
      <c r="N152" t="s">
        <v>493</v>
      </c>
      <c r="O152">
        <f ca="1">DATEDIF(HRDataset_clean[[#This Row],[DOB]], TODAY(), "Y")</f>
        <v>71</v>
      </c>
      <c r="P152">
        <f ca="1">DATEDIF(HRDataset_clean[[#This Row],[DateofHire]], IF(HRDataset_clean[[#This Row],[DateofTermination]]="", TODAY(),HRDataset_clean[[#This Row],[DateofTermination]]),"Y")</f>
        <v>13</v>
      </c>
    </row>
    <row r="153" spans="1:16" x14ac:dyDescent="0.35">
      <c r="A153" t="s">
        <v>552</v>
      </c>
      <c r="B153">
        <v>10166</v>
      </c>
      <c r="C153">
        <v>0</v>
      </c>
      <c r="D153" s="2">
        <v>54005</v>
      </c>
      <c r="E153" s="3" t="s">
        <v>327</v>
      </c>
      <c r="F153" s="1">
        <v>27006</v>
      </c>
      <c r="G153" t="s">
        <v>342</v>
      </c>
      <c r="H153" t="s">
        <v>329</v>
      </c>
      <c r="I153" s="1">
        <v>40812</v>
      </c>
      <c r="J153" s="1">
        <v>42159</v>
      </c>
      <c r="K153" t="s">
        <v>455</v>
      </c>
      <c r="L153" t="s">
        <v>337</v>
      </c>
      <c r="M153" t="s">
        <v>332</v>
      </c>
      <c r="N153" t="s">
        <v>349</v>
      </c>
      <c r="O153">
        <f ca="1">DATEDIF(HRDataset_clean[[#This Row],[DOB]], TODAY(), "Y")</f>
        <v>52</v>
      </c>
      <c r="P153">
        <f ca="1">DATEDIF(HRDataset_clean[[#This Row],[DateofHire]], IF(HRDataset_clean[[#This Row],[DateofTermination]]="", TODAY(),HRDataset_clean[[#This Row],[DateofTermination]]),"Y")</f>
        <v>3</v>
      </c>
    </row>
    <row r="154" spans="1:16" x14ac:dyDescent="0.35">
      <c r="A154" t="s">
        <v>553</v>
      </c>
      <c r="B154">
        <v>10170</v>
      </c>
      <c r="C154">
        <v>0</v>
      </c>
      <c r="D154" s="2">
        <v>45433</v>
      </c>
      <c r="E154" s="3" t="s">
        <v>327</v>
      </c>
      <c r="F154" s="1">
        <v>25849</v>
      </c>
      <c r="G154" t="s">
        <v>342</v>
      </c>
      <c r="H154" t="s">
        <v>329</v>
      </c>
      <c r="I154" s="1">
        <v>40812</v>
      </c>
      <c r="J154" s="1">
        <v>41648</v>
      </c>
      <c r="K154" t="s">
        <v>455</v>
      </c>
      <c r="L154" t="s">
        <v>337</v>
      </c>
      <c r="M154" t="s">
        <v>332</v>
      </c>
      <c r="N154" t="s">
        <v>351</v>
      </c>
      <c r="O154">
        <f ca="1">DATEDIF(HRDataset_clean[[#This Row],[DOB]], TODAY(), "Y")</f>
        <v>55</v>
      </c>
      <c r="P154">
        <f ca="1">DATEDIF(HRDataset_clean[[#This Row],[DateofHire]], IF(HRDataset_clean[[#This Row],[DateofTermination]]="", TODAY(),HRDataset_clean[[#This Row],[DateofTermination]]),"Y")</f>
        <v>2</v>
      </c>
    </row>
    <row r="155" spans="1:16" x14ac:dyDescent="0.35">
      <c r="A155" t="s">
        <v>554</v>
      </c>
      <c r="B155">
        <v>10208</v>
      </c>
      <c r="C155">
        <v>1</v>
      </c>
      <c r="D155" s="2">
        <v>46654</v>
      </c>
      <c r="E155" s="3" t="s">
        <v>327</v>
      </c>
      <c r="F155" s="1">
        <v>28439</v>
      </c>
      <c r="G155" t="s">
        <v>328</v>
      </c>
      <c r="H155" t="s">
        <v>329</v>
      </c>
      <c r="I155" s="1">
        <v>41687</v>
      </c>
      <c r="K155" t="s">
        <v>330</v>
      </c>
      <c r="L155" t="s">
        <v>331</v>
      </c>
      <c r="M155" t="s">
        <v>332</v>
      </c>
      <c r="N155" t="s">
        <v>357</v>
      </c>
      <c r="O155">
        <f ca="1">DATEDIF(HRDataset_clean[[#This Row],[DOB]], TODAY(), "Y")</f>
        <v>48</v>
      </c>
      <c r="P155">
        <f ca="1">DATEDIF(HRDataset_clean[[#This Row],[DateofHire]], IF(HRDataset_clean[[#This Row],[DateofTermination]]="", TODAY(),HRDataset_clean[[#This Row],[DateofTermination]]),"Y")</f>
        <v>11</v>
      </c>
    </row>
    <row r="156" spans="1:16" x14ac:dyDescent="0.35">
      <c r="A156" t="s">
        <v>555</v>
      </c>
      <c r="B156">
        <v>10176</v>
      </c>
      <c r="C156">
        <v>1</v>
      </c>
      <c r="D156" s="2">
        <v>63973</v>
      </c>
      <c r="E156" s="3" t="s">
        <v>327</v>
      </c>
      <c r="F156" s="1">
        <v>29253</v>
      </c>
      <c r="G156" t="s">
        <v>328</v>
      </c>
      <c r="H156" t="s">
        <v>329</v>
      </c>
      <c r="I156" s="1">
        <v>40553</v>
      </c>
      <c r="K156" t="s">
        <v>330</v>
      </c>
      <c r="L156" t="s">
        <v>331</v>
      </c>
      <c r="M156" t="s">
        <v>332</v>
      </c>
      <c r="N156" t="s">
        <v>359</v>
      </c>
      <c r="O156">
        <f ca="1">DATEDIF(HRDataset_clean[[#This Row],[DOB]], TODAY(), "Y")</f>
        <v>45</v>
      </c>
      <c r="P156">
        <f ca="1">DATEDIF(HRDataset_clean[[#This Row],[DateofHire]], IF(HRDataset_clean[[#This Row],[DateofTermination]]="", TODAY(),HRDataset_clean[[#This Row],[DateofTermination]]),"Y")</f>
        <v>14</v>
      </c>
    </row>
    <row r="157" spans="1:16" x14ac:dyDescent="0.35">
      <c r="A157" t="s">
        <v>556</v>
      </c>
      <c r="B157">
        <v>10165</v>
      </c>
      <c r="C157">
        <v>1</v>
      </c>
      <c r="D157" s="2">
        <v>71339</v>
      </c>
      <c r="E157" s="3" t="s">
        <v>405</v>
      </c>
      <c r="F157" s="1">
        <v>25258</v>
      </c>
      <c r="G157" t="s">
        <v>328</v>
      </c>
      <c r="H157" t="s">
        <v>329</v>
      </c>
      <c r="I157" s="1">
        <v>40609</v>
      </c>
      <c r="K157" t="s">
        <v>330</v>
      </c>
      <c r="L157" t="s">
        <v>331</v>
      </c>
      <c r="M157" t="s">
        <v>406</v>
      </c>
      <c r="N157" t="s">
        <v>407</v>
      </c>
      <c r="O157">
        <f ca="1">DATEDIF(HRDataset_clean[[#This Row],[DOB]], TODAY(), "Y")</f>
        <v>56</v>
      </c>
      <c r="P157">
        <f ca="1">DATEDIF(HRDataset_clean[[#This Row],[DateofHire]], IF(HRDataset_clean[[#This Row],[DateofTermination]]="", TODAY(),HRDataset_clean[[#This Row],[DateofTermination]]),"Y")</f>
        <v>14</v>
      </c>
    </row>
    <row r="158" spans="1:16" x14ac:dyDescent="0.35">
      <c r="A158" t="s">
        <v>557</v>
      </c>
      <c r="B158">
        <v>10113</v>
      </c>
      <c r="C158">
        <v>1</v>
      </c>
      <c r="D158" s="2">
        <v>93206</v>
      </c>
      <c r="E158" s="3" t="s">
        <v>443</v>
      </c>
      <c r="F158" s="1">
        <v>31525</v>
      </c>
      <c r="G158" t="s">
        <v>328</v>
      </c>
      <c r="H158" t="s">
        <v>329</v>
      </c>
      <c r="I158" s="1">
        <v>41953</v>
      </c>
      <c r="K158" t="s">
        <v>330</v>
      </c>
      <c r="L158" t="s">
        <v>331</v>
      </c>
      <c r="M158" t="s">
        <v>338</v>
      </c>
      <c r="N158" t="s">
        <v>362</v>
      </c>
      <c r="O158">
        <f ca="1">DATEDIF(HRDataset_clean[[#This Row],[DOB]], TODAY(), "Y")</f>
        <v>39</v>
      </c>
      <c r="P158">
        <f ca="1">DATEDIF(HRDataset_clean[[#This Row],[DateofHire]], IF(HRDataset_clean[[#This Row],[DateofTermination]]="", TODAY(),HRDataset_clean[[#This Row],[DateofTermination]]),"Y")</f>
        <v>11</v>
      </c>
    </row>
    <row r="159" spans="1:16" x14ac:dyDescent="0.35">
      <c r="A159" t="s">
        <v>558</v>
      </c>
      <c r="B159">
        <v>10092</v>
      </c>
      <c r="C159">
        <v>1</v>
      </c>
      <c r="D159" s="2">
        <v>82758</v>
      </c>
      <c r="E159" s="3" t="s">
        <v>396</v>
      </c>
      <c r="F159" s="1">
        <v>26481</v>
      </c>
      <c r="G159" t="s">
        <v>328</v>
      </c>
      <c r="H159" t="s">
        <v>329</v>
      </c>
      <c r="I159" s="1">
        <v>40553</v>
      </c>
      <c r="J159" s="1">
        <v>42350</v>
      </c>
      <c r="K159" t="s">
        <v>374</v>
      </c>
      <c r="L159" t="s">
        <v>375</v>
      </c>
      <c r="M159" t="s">
        <v>332</v>
      </c>
      <c r="N159" t="s">
        <v>398</v>
      </c>
      <c r="O159">
        <f ca="1">DATEDIF(HRDataset_clean[[#This Row],[DOB]], TODAY(), "Y")</f>
        <v>53</v>
      </c>
      <c r="P159">
        <f ca="1">DATEDIF(HRDataset_clean[[#This Row],[DateofHire]], IF(HRDataset_clean[[#This Row],[DateofTermination]]="", TODAY(),HRDataset_clean[[#This Row],[DateofTermination]]),"Y")</f>
        <v>4</v>
      </c>
    </row>
    <row r="160" spans="1:16" x14ac:dyDescent="0.35">
      <c r="A160" t="s">
        <v>559</v>
      </c>
      <c r="B160">
        <v>10106</v>
      </c>
      <c r="C160">
        <v>0</v>
      </c>
      <c r="D160" s="2">
        <v>66074</v>
      </c>
      <c r="E160" s="3" t="s">
        <v>341</v>
      </c>
      <c r="F160" s="1">
        <v>29061</v>
      </c>
      <c r="G160" t="s">
        <v>342</v>
      </c>
      <c r="H160" t="s">
        <v>329</v>
      </c>
      <c r="I160" s="1">
        <v>41281</v>
      </c>
      <c r="J160" s="1">
        <v>41729</v>
      </c>
      <c r="K160" t="s">
        <v>364</v>
      </c>
      <c r="L160" t="s">
        <v>337</v>
      </c>
      <c r="M160" t="s">
        <v>332</v>
      </c>
      <c r="N160" t="s">
        <v>365</v>
      </c>
      <c r="O160">
        <f ca="1">DATEDIF(HRDataset_clean[[#This Row],[DOB]], TODAY(), "Y")</f>
        <v>46</v>
      </c>
      <c r="P160">
        <f ca="1">DATEDIF(HRDataset_clean[[#This Row],[DateofHire]], IF(HRDataset_clean[[#This Row],[DateofTermination]]="", TODAY(),HRDataset_clean[[#This Row],[DateofTermination]]),"Y")</f>
        <v>1</v>
      </c>
    </row>
    <row r="161" spans="1:16" x14ac:dyDescent="0.35">
      <c r="A161" t="s">
        <v>560</v>
      </c>
      <c r="B161">
        <v>10052</v>
      </c>
      <c r="C161">
        <v>1</v>
      </c>
      <c r="D161" s="2">
        <v>46120</v>
      </c>
      <c r="E161" s="3" t="s">
        <v>327</v>
      </c>
      <c r="F161" s="1">
        <v>31755</v>
      </c>
      <c r="G161" t="s">
        <v>328</v>
      </c>
      <c r="H161" t="s">
        <v>329</v>
      </c>
      <c r="I161" s="1">
        <v>41099</v>
      </c>
      <c r="K161" t="s">
        <v>330</v>
      </c>
      <c r="L161" t="s">
        <v>331</v>
      </c>
      <c r="M161" t="s">
        <v>332</v>
      </c>
      <c r="N161" t="s">
        <v>365</v>
      </c>
      <c r="O161">
        <f ca="1">DATEDIF(HRDataset_clean[[#This Row],[DOB]], TODAY(), "Y")</f>
        <v>39</v>
      </c>
      <c r="P161">
        <f ca="1">DATEDIF(HRDataset_clean[[#This Row],[DateofHire]], IF(HRDataset_clean[[#This Row],[DateofTermination]]="", TODAY(),HRDataset_clean[[#This Row],[DateofTermination]]),"Y")</f>
        <v>13</v>
      </c>
    </row>
    <row r="162" spans="1:16" x14ac:dyDescent="0.35">
      <c r="A162" t="s">
        <v>561</v>
      </c>
      <c r="B162">
        <v>10038</v>
      </c>
      <c r="C162">
        <v>1</v>
      </c>
      <c r="D162" s="2">
        <v>64520</v>
      </c>
      <c r="E162" s="3" t="s">
        <v>401</v>
      </c>
      <c r="F162" s="1">
        <v>30798</v>
      </c>
      <c r="G162" t="s">
        <v>328</v>
      </c>
      <c r="H162" t="s">
        <v>329</v>
      </c>
      <c r="I162" s="1">
        <v>41645</v>
      </c>
      <c r="K162" t="s">
        <v>330</v>
      </c>
      <c r="L162" t="s">
        <v>331</v>
      </c>
      <c r="M162" t="s">
        <v>393</v>
      </c>
      <c r="N162" t="s">
        <v>394</v>
      </c>
      <c r="O162">
        <f ca="1">DATEDIF(HRDataset_clean[[#This Row],[DOB]], TODAY(), "Y")</f>
        <v>41</v>
      </c>
      <c r="P162">
        <f ca="1">DATEDIF(HRDataset_clean[[#This Row],[DateofHire]], IF(HRDataset_clean[[#This Row],[DateofTermination]]="", TODAY(),HRDataset_clean[[#This Row],[DateofTermination]]),"Y")</f>
        <v>11</v>
      </c>
    </row>
    <row r="163" spans="1:16" x14ac:dyDescent="0.35">
      <c r="A163" t="s">
        <v>562</v>
      </c>
      <c r="B163">
        <v>10249</v>
      </c>
      <c r="C163">
        <v>1</v>
      </c>
      <c r="D163" s="2">
        <v>61962</v>
      </c>
      <c r="E163" s="3" t="s">
        <v>341</v>
      </c>
      <c r="F163" s="1">
        <v>30811</v>
      </c>
      <c r="G163" t="s">
        <v>328</v>
      </c>
      <c r="H163" t="s">
        <v>329</v>
      </c>
      <c r="I163" s="1">
        <v>41001</v>
      </c>
      <c r="J163" s="1">
        <v>41379</v>
      </c>
      <c r="K163" t="s">
        <v>455</v>
      </c>
      <c r="L163" t="s">
        <v>337</v>
      </c>
      <c r="M163" t="s">
        <v>332</v>
      </c>
      <c r="N163" t="s">
        <v>344</v>
      </c>
      <c r="O163">
        <f ca="1">DATEDIF(HRDataset_clean[[#This Row],[DOB]], TODAY(), "Y")</f>
        <v>41</v>
      </c>
      <c r="P163">
        <f ca="1">DATEDIF(HRDataset_clean[[#This Row],[DateofHire]], IF(HRDataset_clean[[#This Row],[DateofTermination]]="", TODAY(),HRDataset_clean[[#This Row],[DateofTermination]]),"Y")</f>
        <v>1</v>
      </c>
    </row>
    <row r="164" spans="1:16" x14ac:dyDescent="0.35">
      <c r="A164" t="s">
        <v>563</v>
      </c>
      <c r="B164">
        <v>10232</v>
      </c>
      <c r="C164">
        <v>0</v>
      </c>
      <c r="D164" s="2">
        <v>81584</v>
      </c>
      <c r="E164" s="3" t="s">
        <v>564</v>
      </c>
      <c r="F164" s="1">
        <v>31942</v>
      </c>
      <c r="G164" t="s">
        <v>342</v>
      </c>
      <c r="H164" t="s">
        <v>329</v>
      </c>
      <c r="I164" s="1">
        <v>42645</v>
      </c>
      <c r="K164" t="s">
        <v>330</v>
      </c>
      <c r="L164" t="s">
        <v>331</v>
      </c>
      <c r="M164" t="s">
        <v>338</v>
      </c>
      <c r="N164" t="s">
        <v>459</v>
      </c>
      <c r="O164">
        <f ca="1">DATEDIF(HRDataset_clean[[#This Row],[DOB]], TODAY(), "Y")</f>
        <v>38</v>
      </c>
      <c r="P164">
        <f ca="1">DATEDIF(HRDataset_clean[[#This Row],[DateofHire]], IF(HRDataset_clean[[#This Row],[DateofTermination]]="", TODAY(),HRDataset_clean[[#This Row],[DateofTermination]]),"Y")</f>
        <v>9</v>
      </c>
    </row>
    <row r="165" spans="1:16" x14ac:dyDescent="0.35">
      <c r="A165" t="s">
        <v>565</v>
      </c>
      <c r="B165">
        <v>10087</v>
      </c>
      <c r="C165">
        <v>0</v>
      </c>
      <c r="D165" s="2">
        <v>63676</v>
      </c>
      <c r="E165" s="3" t="s">
        <v>327</v>
      </c>
      <c r="F165" s="1">
        <v>28872</v>
      </c>
      <c r="G165" t="s">
        <v>342</v>
      </c>
      <c r="H165" t="s">
        <v>329</v>
      </c>
      <c r="I165" s="1">
        <v>40812</v>
      </c>
      <c r="J165" s="1">
        <v>43331</v>
      </c>
      <c r="K165" t="s">
        <v>348</v>
      </c>
      <c r="L165" t="s">
        <v>337</v>
      </c>
      <c r="M165" t="s">
        <v>332</v>
      </c>
      <c r="N165" t="s">
        <v>344</v>
      </c>
      <c r="O165">
        <f ca="1">DATEDIF(HRDataset_clean[[#This Row],[DOB]], TODAY(), "Y")</f>
        <v>46</v>
      </c>
      <c r="P165">
        <f ca="1">DATEDIF(HRDataset_clean[[#This Row],[DateofHire]], IF(HRDataset_clean[[#This Row],[DateofTermination]]="", TODAY(),HRDataset_clean[[#This Row],[DateofTermination]]),"Y")</f>
        <v>6</v>
      </c>
    </row>
    <row r="166" spans="1:16" x14ac:dyDescent="0.35">
      <c r="A166" t="s">
        <v>566</v>
      </c>
      <c r="B166">
        <v>10134</v>
      </c>
      <c r="C166">
        <v>1</v>
      </c>
      <c r="D166" s="2">
        <v>93046</v>
      </c>
      <c r="E166" s="3" t="s">
        <v>567</v>
      </c>
      <c r="F166" s="1">
        <v>30843</v>
      </c>
      <c r="G166" t="s">
        <v>328</v>
      </c>
      <c r="H166" t="s">
        <v>329</v>
      </c>
      <c r="I166" s="1">
        <v>42374</v>
      </c>
      <c r="K166" t="s">
        <v>330</v>
      </c>
      <c r="L166" t="s">
        <v>331</v>
      </c>
      <c r="M166" t="s">
        <v>393</v>
      </c>
      <c r="N166" t="s">
        <v>398</v>
      </c>
      <c r="O166">
        <f ca="1">DATEDIF(HRDataset_clean[[#This Row],[DOB]], TODAY(), "Y")</f>
        <v>41</v>
      </c>
      <c r="P166">
        <f ca="1">DATEDIF(HRDataset_clean[[#This Row],[DateofHire]], IF(HRDataset_clean[[#This Row],[DateofTermination]]="", TODAY(),HRDataset_clean[[#This Row],[DateofTermination]]),"Y")</f>
        <v>9</v>
      </c>
    </row>
    <row r="167" spans="1:16" x14ac:dyDescent="0.35">
      <c r="A167" t="s">
        <v>568</v>
      </c>
      <c r="B167">
        <v>10251</v>
      </c>
      <c r="C167">
        <v>1</v>
      </c>
      <c r="D167" s="2">
        <v>64738</v>
      </c>
      <c r="E167" s="3" t="s">
        <v>327</v>
      </c>
      <c r="F167" s="1">
        <v>30196</v>
      </c>
      <c r="G167" t="s">
        <v>328</v>
      </c>
      <c r="H167" t="s">
        <v>329</v>
      </c>
      <c r="I167" s="1">
        <v>41043</v>
      </c>
      <c r="K167" t="s">
        <v>330</v>
      </c>
      <c r="L167" t="s">
        <v>331</v>
      </c>
      <c r="M167" t="s">
        <v>332</v>
      </c>
      <c r="N167" t="s">
        <v>346</v>
      </c>
      <c r="O167">
        <f ca="1">DATEDIF(HRDataset_clean[[#This Row],[DOB]], TODAY(), "Y")</f>
        <v>43</v>
      </c>
      <c r="P167">
        <f ca="1">DATEDIF(HRDataset_clean[[#This Row],[DateofHire]], IF(HRDataset_clean[[#This Row],[DateofTermination]]="", TODAY(),HRDataset_clean[[#This Row],[DateofTermination]]),"Y")</f>
        <v>13</v>
      </c>
    </row>
    <row r="168" spans="1:16" x14ac:dyDescent="0.35">
      <c r="A168" t="s">
        <v>569</v>
      </c>
      <c r="B168">
        <v>10103</v>
      </c>
      <c r="C168">
        <v>1</v>
      </c>
      <c r="D168" s="2">
        <v>70468</v>
      </c>
      <c r="E168" s="3" t="s">
        <v>405</v>
      </c>
      <c r="F168" s="1">
        <v>32504</v>
      </c>
      <c r="G168" t="s">
        <v>328</v>
      </c>
      <c r="H168" t="s">
        <v>329</v>
      </c>
      <c r="I168" s="1">
        <v>41029</v>
      </c>
      <c r="K168" t="s">
        <v>330</v>
      </c>
      <c r="L168" t="s">
        <v>331</v>
      </c>
      <c r="M168" t="s">
        <v>406</v>
      </c>
      <c r="N168" t="s">
        <v>407</v>
      </c>
      <c r="O168">
        <f ca="1">DATEDIF(HRDataset_clean[[#This Row],[DOB]], TODAY(), "Y")</f>
        <v>36</v>
      </c>
      <c r="P168">
        <f ca="1">DATEDIF(HRDataset_clean[[#This Row],[DateofHire]], IF(HRDataset_clean[[#This Row],[DateofTermination]]="", TODAY(),HRDataset_clean[[#This Row],[DateofTermination]]),"Y")</f>
        <v>13</v>
      </c>
    </row>
    <row r="169" spans="1:16" x14ac:dyDescent="0.35">
      <c r="A169" t="s">
        <v>570</v>
      </c>
      <c r="B169">
        <v>10017</v>
      </c>
      <c r="C169">
        <v>0</v>
      </c>
      <c r="D169" s="2">
        <v>77915</v>
      </c>
      <c r="E169" s="3" t="s">
        <v>396</v>
      </c>
      <c r="F169" s="1">
        <v>29885</v>
      </c>
      <c r="G169" t="s">
        <v>342</v>
      </c>
      <c r="H169" t="s">
        <v>329</v>
      </c>
      <c r="I169" s="1">
        <v>41547</v>
      </c>
      <c r="K169" t="s">
        <v>330</v>
      </c>
      <c r="L169" t="s">
        <v>331</v>
      </c>
      <c r="M169" t="s">
        <v>332</v>
      </c>
      <c r="N169" t="s">
        <v>398</v>
      </c>
      <c r="O169">
        <f ca="1">DATEDIF(HRDataset_clean[[#This Row],[DOB]], TODAY(), "Y")</f>
        <v>44</v>
      </c>
      <c r="P169">
        <f ca="1">DATEDIF(HRDataset_clean[[#This Row],[DateofHire]], IF(HRDataset_clean[[#This Row],[DateofTermination]]="", TODAY(),HRDataset_clean[[#This Row],[DateofTermination]]),"Y")</f>
        <v>12</v>
      </c>
    </row>
    <row r="170" spans="1:16" x14ac:dyDescent="0.35">
      <c r="A170" t="s">
        <v>571</v>
      </c>
      <c r="B170">
        <v>10186</v>
      </c>
      <c r="C170">
        <v>0</v>
      </c>
      <c r="D170" s="2">
        <v>52624</v>
      </c>
      <c r="E170" s="3" t="s">
        <v>327</v>
      </c>
      <c r="F170" s="1">
        <v>29671</v>
      </c>
      <c r="G170" t="s">
        <v>342</v>
      </c>
      <c r="H170" t="s">
        <v>329</v>
      </c>
      <c r="I170" s="1">
        <v>40729</v>
      </c>
      <c r="J170" s="1">
        <v>43369</v>
      </c>
      <c r="K170" t="s">
        <v>367</v>
      </c>
      <c r="L170" t="s">
        <v>337</v>
      </c>
      <c r="M170" t="s">
        <v>332</v>
      </c>
      <c r="N170" t="s">
        <v>333</v>
      </c>
      <c r="O170">
        <f ca="1">DATEDIF(HRDataset_clean[[#This Row],[DOB]], TODAY(), "Y")</f>
        <v>44</v>
      </c>
      <c r="P170">
        <f ca="1">DATEDIF(HRDataset_clean[[#This Row],[DateofHire]], IF(HRDataset_clean[[#This Row],[DateofTermination]]="", TODAY(),HRDataset_clean[[#This Row],[DateofTermination]]),"Y")</f>
        <v>7</v>
      </c>
    </row>
    <row r="171" spans="1:16" x14ac:dyDescent="0.35">
      <c r="A171" t="s">
        <v>572</v>
      </c>
      <c r="B171">
        <v>10137</v>
      </c>
      <c r="C171">
        <v>1</v>
      </c>
      <c r="D171" s="2">
        <v>63450</v>
      </c>
      <c r="E171" s="3" t="s">
        <v>341</v>
      </c>
      <c r="F171" s="1">
        <v>28933</v>
      </c>
      <c r="G171" t="s">
        <v>328</v>
      </c>
      <c r="H171" t="s">
        <v>329</v>
      </c>
      <c r="I171" s="1">
        <v>41463</v>
      </c>
      <c r="K171" t="s">
        <v>330</v>
      </c>
      <c r="L171" t="s">
        <v>331</v>
      </c>
      <c r="M171" t="s">
        <v>332</v>
      </c>
      <c r="N171" t="s">
        <v>371</v>
      </c>
      <c r="O171">
        <f ca="1">DATEDIF(HRDataset_clean[[#This Row],[DOB]], TODAY(), "Y")</f>
        <v>46</v>
      </c>
      <c r="P171">
        <f ca="1">DATEDIF(HRDataset_clean[[#This Row],[DateofHire]], IF(HRDataset_clean[[#This Row],[DateofTermination]]="", TODAY(),HRDataset_clean[[#This Row],[DateofTermination]]),"Y")</f>
        <v>12</v>
      </c>
    </row>
    <row r="172" spans="1:16" x14ac:dyDescent="0.35">
      <c r="A172" t="s">
        <v>573</v>
      </c>
      <c r="B172">
        <v>10008</v>
      </c>
      <c r="C172">
        <v>0</v>
      </c>
      <c r="D172" s="2">
        <v>51777</v>
      </c>
      <c r="E172" s="3" t="s">
        <v>361</v>
      </c>
      <c r="F172" s="1">
        <v>32421</v>
      </c>
      <c r="G172" t="s">
        <v>342</v>
      </c>
      <c r="H172" t="s">
        <v>329</v>
      </c>
      <c r="I172" s="1">
        <v>40564</v>
      </c>
      <c r="K172" t="s">
        <v>330</v>
      </c>
      <c r="L172" t="s">
        <v>331</v>
      </c>
      <c r="M172" t="s">
        <v>338</v>
      </c>
      <c r="N172" t="s">
        <v>430</v>
      </c>
      <c r="O172">
        <f ca="1">DATEDIF(HRDataset_clean[[#This Row],[DOB]], TODAY(), "Y")</f>
        <v>37</v>
      </c>
      <c r="P172">
        <f ca="1">DATEDIF(HRDataset_clean[[#This Row],[DateofHire]], IF(HRDataset_clean[[#This Row],[DateofTermination]]="", TODAY(),HRDataset_clean[[#This Row],[DateofTermination]]),"Y")</f>
        <v>14</v>
      </c>
    </row>
    <row r="173" spans="1:16" x14ac:dyDescent="0.35">
      <c r="A173" t="s">
        <v>574</v>
      </c>
      <c r="B173">
        <v>10096</v>
      </c>
      <c r="C173">
        <v>0</v>
      </c>
      <c r="D173" s="2">
        <v>67237</v>
      </c>
      <c r="E173" s="3" t="s">
        <v>341</v>
      </c>
      <c r="F173" s="1">
        <v>28120</v>
      </c>
      <c r="G173" t="s">
        <v>342</v>
      </c>
      <c r="H173" t="s">
        <v>329</v>
      </c>
      <c r="I173" s="1">
        <v>41463</v>
      </c>
      <c r="J173" s="1">
        <v>42628</v>
      </c>
      <c r="K173" t="s">
        <v>455</v>
      </c>
      <c r="L173" t="s">
        <v>337</v>
      </c>
      <c r="M173" t="s">
        <v>332</v>
      </c>
      <c r="N173" t="s">
        <v>333</v>
      </c>
      <c r="O173">
        <f ca="1">DATEDIF(HRDataset_clean[[#This Row],[DOB]], TODAY(), "Y")</f>
        <v>48</v>
      </c>
      <c r="P173">
        <f ca="1">DATEDIF(HRDataset_clean[[#This Row],[DateofHire]], IF(HRDataset_clean[[#This Row],[DateofTermination]]="", TODAY(),HRDataset_clean[[#This Row],[DateofTermination]]),"Y")</f>
        <v>3</v>
      </c>
    </row>
    <row r="174" spans="1:16" x14ac:dyDescent="0.35">
      <c r="A174" t="s">
        <v>575</v>
      </c>
      <c r="B174">
        <v>10035</v>
      </c>
      <c r="C174">
        <v>0</v>
      </c>
      <c r="D174" s="2">
        <v>73330</v>
      </c>
      <c r="E174" s="3" t="s">
        <v>341</v>
      </c>
      <c r="F174" s="1">
        <v>30038</v>
      </c>
      <c r="G174" t="s">
        <v>342</v>
      </c>
      <c r="H174" t="s">
        <v>329</v>
      </c>
      <c r="I174" s="1">
        <v>41505</v>
      </c>
      <c r="K174" t="s">
        <v>330</v>
      </c>
      <c r="L174" t="s">
        <v>331</v>
      </c>
      <c r="M174" t="s">
        <v>332</v>
      </c>
      <c r="N174" t="s">
        <v>346</v>
      </c>
      <c r="O174">
        <f ca="1">DATEDIF(HRDataset_clean[[#This Row],[DOB]], TODAY(), "Y")</f>
        <v>43</v>
      </c>
      <c r="P174">
        <f ca="1">DATEDIF(HRDataset_clean[[#This Row],[DateofHire]], IF(HRDataset_clean[[#This Row],[DateofTermination]]="", TODAY(),HRDataset_clean[[#This Row],[DateofTermination]]),"Y")</f>
        <v>12</v>
      </c>
    </row>
    <row r="175" spans="1:16" x14ac:dyDescent="0.35">
      <c r="A175" t="s">
        <v>576</v>
      </c>
      <c r="B175">
        <v>10057</v>
      </c>
      <c r="C175">
        <v>0</v>
      </c>
      <c r="D175" s="2">
        <v>52057</v>
      </c>
      <c r="E175" s="3" t="s">
        <v>327</v>
      </c>
      <c r="F175" s="1">
        <v>27689</v>
      </c>
      <c r="G175" t="s">
        <v>342</v>
      </c>
      <c r="H175" t="s">
        <v>329</v>
      </c>
      <c r="I175" s="1">
        <v>42051</v>
      </c>
      <c r="K175" t="s">
        <v>330</v>
      </c>
      <c r="L175" t="s">
        <v>331</v>
      </c>
      <c r="M175" t="s">
        <v>332</v>
      </c>
      <c r="N175" t="s">
        <v>346</v>
      </c>
      <c r="O175">
        <f ca="1">DATEDIF(HRDataset_clean[[#This Row],[DOB]], TODAY(), "Y")</f>
        <v>50</v>
      </c>
      <c r="P175">
        <f ca="1">DATEDIF(HRDataset_clean[[#This Row],[DateofHire]], IF(HRDataset_clean[[#This Row],[DateofTermination]]="", TODAY(),HRDataset_clean[[#This Row],[DateofTermination]]),"Y")</f>
        <v>10</v>
      </c>
    </row>
    <row r="176" spans="1:16" x14ac:dyDescent="0.35">
      <c r="A176" t="s">
        <v>577</v>
      </c>
      <c r="B176">
        <v>10004</v>
      </c>
      <c r="C176">
        <v>0</v>
      </c>
      <c r="D176" s="2">
        <v>47434</v>
      </c>
      <c r="E176" s="3" t="s">
        <v>327</v>
      </c>
      <c r="F176" s="1">
        <v>26709</v>
      </c>
      <c r="G176" t="s">
        <v>342</v>
      </c>
      <c r="H176" t="s">
        <v>329</v>
      </c>
      <c r="I176" s="1">
        <v>40854</v>
      </c>
      <c r="J176" s="1">
        <v>42322</v>
      </c>
      <c r="K176" t="s">
        <v>364</v>
      </c>
      <c r="L176" t="s">
        <v>337</v>
      </c>
      <c r="M176" t="s">
        <v>332</v>
      </c>
      <c r="N176" t="s">
        <v>349</v>
      </c>
      <c r="O176">
        <f ca="1">DATEDIF(HRDataset_clean[[#This Row],[DOB]], TODAY(), "Y")</f>
        <v>52</v>
      </c>
      <c r="P176">
        <f ca="1">DATEDIF(HRDataset_clean[[#This Row],[DateofHire]], IF(HRDataset_clean[[#This Row],[DateofTermination]]="", TODAY(),HRDataset_clean[[#This Row],[DateofTermination]]),"Y")</f>
        <v>4</v>
      </c>
    </row>
    <row r="177" spans="1:16" x14ac:dyDescent="0.35">
      <c r="A177" t="s">
        <v>578</v>
      </c>
      <c r="B177">
        <v>10191</v>
      </c>
      <c r="C177">
        <v>1</v>
      </c>
      <c r="D177" s="2">
        <v>52788</v>
      </c>
      <c r="E177" s="3" t="s">
        <v>327</v>
      </c>
      <c r="F177" s="1">
        <v>26612</v>
      </c>
      <c r="G177" t="s">
        <v>328</v>
      </c>
      <c r="H177" t="s">
        <v>329</v>
      </c>
      <c r="I177" s="1">
        <v>41176</v>
      </c>
      <c r="J177" s="1">
        <v>43004</v>
      </c>
      <c r="K177" t="s">
        <v>343</v>
      </c>
      <c r="L177" t="s">
        <v>337</v>
      </c>
      <c r="M177" t="s">
        <v>332</v>
      </c>
      <c r="N177" t="s">
        <v>351</v>
      </c>
      <c r="O177">
        <f ca="1">DATEDIF(HRDataset_clean[[#This Row],[DOB]], TODAY(), "Y")</f>
        <v>53</v>
      </c>
      <c r="P177">
        <f ca="1">DATEDIF(HRDataset_clean[[#This Row],[DateofHire]], IF(HRDataset_clean[[#This Row],[DateofTermination]]="", TODAY(),HRDataset_clean[[#This Row],[DateofTermination]]),"Y")</f>
        <v>5</v>
      </c>
    </row>
    <row r="178" spans="1:16" x14ac:dyDescent="0.35">
      <c r="A178" t="s">
        <v>579</v>
      </c>
      <c r="B178">
        <v>10219</v>
      </c>
      <c r="C178">
        <v>0</v>
      </c>
      <c r="D178" s="2">
        <v>45395</v>
      </c>
      <c r="E178" s="3" t="s">
        <v>327</v>
      </c>
      <c r="F178" s="1">
        <v>31600</v>
      </c>
      <c r="G178" t="s">
        <v>342</v>
      </c>
      <c r="H178" t="s">
        <v>329</v>
      </c>
      <c r="I178" s="1">
        <v>41645</v>
      </c>
      <c r="K178" t="s">
        <v>330</v>
      </c>
      <c r="L178" t="s">
        <v>331</v>
      </c>
      <c r="M178" t="s">
        <v>332</v>
      </c>
      <c r="N178" t="s">
        <v>357</v>
      </c>
      <c r="O178">
        <f ca="1">DATEDIF(HRDataset_clean[[#This Row],[DOB]], TODAY(), "Y")</f>
        <v>39</v>
      </c>
      <c r="P178">
        <f ca="1">DATEDIF(HRDataset_clean[[#This Row],[DateofHire]], IF(HRDataset_clean[[#This Row],[DateofTermination]]="", TODAY(),HRDataset_clean[[#This Row],[DateofTermination]]),"Y")</f>
        <v>11</v>
      </c>
    </row>
    <row r="179" spans="1:16" x14ac:dyDescent="0.35">
      <c r="A179" t="s">
        <v>580</v>
      </c>
      <c r="B179">
        <v>10077</v>
      </c>
      <c r="C179">
        <v>0</v>
      </c>
      <c r="D179" s="2">
        <v>62385</v>
      </c>
      <c r="E179" s="3" t="s">
        <v>341</v>
      </c>
      <c r="F179" s="1">
        <v>27997</v>
      </c>
      <c r="G179" t="s">
        <v>342</v>
      </c>
      <c r="H179" t="s">
        <v>329</v>
      </c>
      <c r="I179" s="1">
        <v>42501</v>
      </c>
      <c r="K179" t="s">
        <v>330</v>
      </c>
      <c r="L179" t="s">
        <v>331</v>
      </c>
      <c r="M179" t="s">
        <v>332</v>
      </c>
      <c r="N179" t="s">
        <v>349</v>
      </c>
      <c r="O179">
        <f ca="1">DATEDIF(HRDataset_clean[[#This Row],[DOB]], TODAY(), "Y")</f>
        <v>49</v>
      </c>
      <c r="P179">
        <f ca="1">DATEDIF(HRDataset_clean[[#This Row],[DateofHire]], IF(HRDataset_clean[[#This Row],[DateofTermination]]="", TODAY(),HRDataset_clean[[#This Row],[DateofTermination]]),"Y")</f>
        <v>9</v>
      </c>
    </row>
    <row r="180" spans="1:16" x14ac:dyDescent="0.35">
      <c r="A180" t="s">
        <v>581</v>
      </c>
      <c r="B180">
        <v>10073</v>
      </c>
      <c r="C180">
        <v>0</v>
      </c>
      <c r="D180" s="2">
        <v>68407</v>
      </c>
      <c r="E180" s="3" t="s">
        <v>341</v>
      </c>
      <c r="F180" s="1">
        <v>31756</v>
      </c>
      <c r="G180" t="s">
        <v>342</v>
      </c>
      <c r="H180" t="s">
        <v>329</v>
      </c>
      <c r="I180" s="1">
        <v>40729</v>
      </c>
      <c r="J180" s="1">
        <v>41140</v>
      </c>
      <c r="K180" t="s">
        <v>364</v>
      </c>
      <c r="L180" t="s">
        <v>337</v>
      </c>
      <c r="M180" t="s">
        <v>332</v>
      </c>
      <c r="N180" t="s">
        <v>351</v>
      </c>
      <c r="O180">
        <f ca="1">DATEDIF(HRDataset_clean[[#This Row],[DOB]], TODAY(), "Y")</f>
        <v>39</v>
      </c>
      <c r="P180">
        <f ca="1">DATEDIF(HRDataset_clean[[#This Row],[DateofHire]], IF(HRDataset_clean[[#This Row],[DateofTermination]]="", TODAY(),HRDataset_clean[[#This Row],[DateofTermination]]),"Y")</f>
        <v>1</v>
      </c>
    </row>
    <row r="181" spans="1:16" x14ac:dyDescent="0.35">
      <c r="A181" t="s">
        <v>582</v>
      </c>
      <c r="B181">
        <v>10279</v>
      </c>
      <c r="C181">
        <v>0</v>
      </c>
      <c r="D181" s="2">
        <v>61349</v>
      </c>
      <c r="E181" s="3" t="s">
        <v>327</v>
      </c>
      <c r="F181" s="1">
        <v>27340</v>
      </c>
      <c r="G181" t="s">
        <v>342</v>
      </c>
      <c r="H181" t="s">
        <v>329</v>
      </c>
      <c r="I181" s="1">
        <v>41589</v>
      </c>
      <c r="K181" t="s">
        <v>330</v>
      </c>
      <c r="L181" t="s">
        <v>331</v>
      </c>
      <c r="M181" t="s">
        <v>332</v>
      </c>
      <c r="N181" t="s">
        <v>359</v>
      </c>
      <c r="O181">
        <f ca="1">DATEDIF(HRDataset_clean[[#This Row],[DOB]], TODAY(), "Y")</f>
        <v>51</v>
      </c>
      <c r="P181">
        <f ca="1">DATEDIF(HRDataset_clean[[#This Row],[DateofHire]], IF(HRDataset_clean[[#This Row],[DateofTermination]]="", TODAY(),HRDataset_clean[[#This Row],[DateofTermination]]),"Y")</f>
        <v>12</v>
      </c>
    </row>
    <row r="182" spans="1:16" x14ac:dyDescent="0.35">
      <c r="A182" t="s">
        <v>583</v>
      </c>
      <c r="B182">
        <v>10110</v>
      </c>
      <c r="C182">
        <v>0</v>
      </c>
      <c r="D182" s="2">
        <v>105688</v>
      </c>
      <c r="E182" s="3" t="s">
        <v>353</v>
      </c>
      <c r="F182" s="1">
        <v>32088</v>
      </c>
      <c r="G182" t="s">
        <v>342</v>
      </c>
      <c r="H182" t="s">
        <v>329</v>
      </c>
      <c r="I182" s="1">
        <v>41589</v>
      </c>
      <c r="K182" t="s">
        <v>330</v>
      </c>
      <c r="L182" t="s">
        <v>331</v>
      </c>
      <c r="M182" t="s">
        <v>354</v>
      </c>
      <c r="N182" t="s">
        <v>355</v>
      </c>
      <c r="O182">
        <f ca="1">DATEDIF(HRDataset_clean[[#This Row],[DOB]], TODAY(), "Y")</f>
        <v>38</v>
      </c>
      <c r="P182">
        <f ca="1">DATEDIF(HRDataset_clean[[#This Row],[DateofHire]], IF(HRDataset_clean[[#This Row],[DateofTermination]]="", TODAY(),HRDataset_clean[[#This Row],[DateofTermination]]),"Y")</f>
        <v>12</v>
      </c>
    </row>
    <row r="183" spans="1:16" x14ac:dyDescent="0.35">
      <c r="A183" t="s">
        <v>584</v>
      </c>
      <c r="B183">
        <v>10053</v>
      </c>
      <c r="C183">
        <v>0</v>
      </c>
      <c r="D183" s="2">
        <v>54132</v>
      </c>
      <c r="E183" s="3" t="s">
        <v>327</v>
      </c>
      <c r="F183" s="1">
        <v>28451</v>
      </c>
      <c r="G183" t="s">
        <v>342</v>
      </c>
      <c r="H183" t="s">
        <v>329</v>
      </c>
      <c r="I183" s="1">
        <v>40694</v>
      </c>
      <c r="K183" t="s">
        <v>330</v>
      </c>
      <c r="L183" t="s">
        <v>331</v>
      </c>
      <c r="M183" t="s">
        <v>332</v>
      </c>
      <c r="N183" t="s">
        <v>365</v>
      </c>
      <c r="O183">
        <f ca="1">DATEDIF(HRDataset_clean[[#This Row],[DOB]], TODAY(), "Y")</f>
        <v>48</v>
      </c>
      <c r="P183">
        <f ca="1">DATEDIF(HRDataset_clean[[#This Row],[DateofHire]], IF(HRDataset_clean[[#This Row],[DateofTermination]]="", TODAY(),HRDataset_clean[[#This Row],[DateofTermination]]),"Y")</f>
        <v>14</v>
      </c>
    </row>
    <row r="184" spans="1:16" x14ac:dyDescent="0.35">
      <c r="A184" t="s">
        <v>585</v>
      </c>
      <c r="B184">
        <v>10076</v>
      </c>
      <c r="C184">
        <v>0</v>
      </c>
      <c r="D184" s="2">
        <v>55315</v>
      </c>
      <c r="E184" s="3" t="s">
        <v>341</v>
      </c>
      <c r="F184" s="1">
        <v>31918</v>
      </c>
      <c r="G184" t="s">
        <v>342</v>
      </c>
      <c r="H184" t="s">
        <v>329</v>
      </c>
      <c r="I184" s="1">
        <v>42093</v>
      </c>
      <c r="K184" t="s">
        <v>330</v>
      </c>
      <c r="L184" t="s">
        <v>331</v>
      </c>
      <c r="M184" t="s">
        <v>332</v>
      </c>
      <c r="N184" t="s">
        <v>357</v>
      </c>
      <c r="O184">
        <f ca="1">DATEDIF(HRDataset_clean[[#This Row],[DOB]], TODAY(), "Y")</f>
        <v>38</v>
      </c>
      <c r="P184">
        <f ca="1">DATEDIF(HRDataset_clean[[#This Row],[DateofHire]], IF(HRDataset_clean[[#This Row],[DateofTermination]]="", TODAY(),HRDataset_clean[[#This Row],[DateofTermination]]),"Y")</f>
        <v>10</v>
      </c>
    </row>
    <row r="185" spans="1:16" x14ac:dyDescent="0.35">
      <c r="A185" t="s">
        <v>586</v>
      </c>
      <c r="B185">
        <v>10145</v>
      </c>
      <c r="C185">
        <v>0</v>
      </c>
      <c r="D185" s="2">
        <v>62810</v>
      </c>
      <c r="E185" s="3" t="s">
        <v>327</v>
      </c>
      <c r="F185" s="1">
        <v>31784</v>
      </c>
      <c r="G185" t="s">
        <v>342</v>
      </c>
      <c r="H185" t="s">
        <v>329</v>
      </c>
      <c r="I185" s="1">
        <v>41281</v>
      </c>
      <c r="K185" t="s">
        <v>330</v>
      </c>
      <c r="L185" t="s">
        <v>331</v>
      </c>
      <c r="M185" t="s">
        <v>332</v>
      </c>
      <c r="N185" t="s">
        <v>344</v>
      </c>
      <c r="O185">
        <f ca="1">DATEDIF(HRDataset_clean[[#This Row],[DOB]], TODAY(), "Y")</f>
        <v>38</v>
      </c>
      <c r="P185">
        <f ca="1">DATEDIF(HRDataset_clean[[#This Row],[DateofHire]], IF(HRDataset_clean[[#This Row],[DateofTermination]]="", TODAY(),HRDataset_clean[[#This Row],[DateofTermination]]),"Y")</f>
        <v>12</v>
      </c>
    </row>
    <row r="186" spans="1:16" x14ac:dyDescent="0.35">
      <c r="A186" t="s">
        <v>587</v>
      </c>
      <c r="B186">
        <v>10202</v>
      </c>
      <c r="C186">
        <v>1</v>
      </c>
      <c r="D186" s="2">
        <v>63291</v>
      </c>
      <c r="E186" s="3" t="s">
        <v>405</v>
      </c>
      <c r="F186" s="1">
        <v>30864</v>
      </c>
      <c r="G186" t="s">
        <v>328</v>
      </c>
      <c r="H186" t="s">
        <v>329</v>
      </c>
      <c r="I186" s="1">
        <v>42557</v>
      </c>
      <c r="K186" t="s">
        <v>330</v>
      </c>
      <c r="L186" t="s">
        <v>331</v>
      </c>
      <c r="M186" t="s">
        <v>406</v>
      </c>
      <c r="N186" t="s">
        <v>424</v>
      </c>
      <c r="O186">
        <f ca="1">DATEDIF(HRDataset_clean[[#This Row],[DOB]], TODAY(), "Y")</f>
        <v>41</v>
      </c>
      <c r="P186">
        <f ca="1">DATEDIF(HRDataset_clean[[#This Row],[DateofHire]], IF(HRDataset_clean[[#This Row],[DateofTermination]]="", TODAY(),HRDataset_clean[[#This Row],[DateofTermination]]),"Y")</f>
        <v>9</v>
      </c>
    </row>
    <row r="187" spans="1:16" x14ac:dyDescent="0.35">
      <c r="A187" t="s">
        <v>588</v>
      </c>
      <c r="B187">
        <v>10128</v>
      </c>
      <c r="C187">
        <v>0</v>
      </c>
      <c r="D187" s="2">
        <v>62659</v>
      </c>
      <c r="E187" s="3" t="s">
        <v>327</v>
      </c>
      <c r="F187" s="1">
        <v>24988</v>
      </c>
      <c r="G187" t="s">
        <v>342</v>
      </c>
      <c r="H187" t="s">
        <v>329</v>
      </c>
      <c r="I187" s="1">
        <v>41001</v>
      </c>
      <c r="J187" s="1">
        <v>42685</v>
      </c>
      <c r="K187" t="s">
        <v>364</v>
      </c>
      <c r="L187" t="s">
        <v>337</v>
      </c>
      <c r="M187" t="s">
        <v>332</v>
      </c>
      <c r="N187" t="s">
        <v>371</v>
      </c>
      <c r="O187">
        <f ca="1">DATEDIF(HRDataset_clean[[#This Row],[DOB]], TODAY(), "Y")</f>
        <v>57</v>
      </c>
      <c r="P187">
        <f ca="1">DATEDIF(HRDataset_clean[[#This Row],[DateofHire]], IF(HRDataset_clean[[#This Row],[DateofTermination]]="", TODAY(),HRDataset_clean[[#This Row],[DateofTermination]]),"Y")</f>
        <v>4</v>
      </c>
    </row>
    <row r="188" spans="1:16" x14ac:dyDescent="0.35">
      <c r="A188" t="s">
        <v>589</v>
      </c>
      <c r="B188">
        <v>10068</v>
      </c>
      <c r="C188">
        <v>0</v>
      </c>
      <c r="D188" s="2">
        <v>55688</v>
      </c>
      <c r="E188" s="3" t="s">
        <v>327</v>
      </c>
      <c r="F188" s="1">
        <v>28025</v>
      </c>
      <c r="G188" t="s">
        <v>342</v>
      </c>
      <c r="H188" t="s">
        <v>329</v>
      </c>
      <c r="I188" s="1">
        <v>42093</v>
      </c>
      <c r="K188" t="s">
        <v>330</v>
      </c>
      <c r="L188" t="s">
        <v>331</v>
      </c>
      <c r="M188" t="s">
        <v>332</v>
      </c>
      <c r="N188" t="s">
        <v>333</v>
      </c>
      <c r="O188">
        <f ca="1">DATEDIF(HRDataset_clean[[#This Row],[DOB]], TODAY(), "Y")</f>
        <v>49</v>
      </c>
      <c r="P188">
        <f ca="1">DATEDIF(HRDataset_clean[[#This Row],[DateofHire]], IF(HRDataset_clean[[#This Row],[DateofTermination]]="", TODAY(),HRDataset_clean[[#This Row],[DateofTermination]]),"Y")</f>
        <v>10</v>
      </c>
    </row>
    <row r="189" spans="1:16" x14ac:dyDescent="0.35">
      <c r="A189" t="s">
        <v>590</v>
      </c>
      <c r="B189">
        <v>10116</v>
      </c>
      <c r="C189">
        <v>1</v>
      </c>
      <c r="D189" s="2">
        <v>83667</v>
      </c>
      <c r="E189" s="3" t="s">
        <v>396</v>
      </c>
      <c r="F189" s="1">
        <v>29808</v>
      </c>
      <c r="G189" t="s">
        <v>328</v>
      </c>
      <c r="H189" t="s">
        <v>329</v>
      </c>
      <c r="I189" s="1">
        <v>41137</v>
      </c>
      <c r="K189" t="s">
        <v>330</v>
      </c>
      <c r="L189" t="s">
        <v>331</v>
      </c>
      <c r="M189" t="s">
        <v>332</v>
      </c>
      <c r="N189" t="s">
        <v>398</v>
      </c>
      <c r="O189">
        <f ca="1">DATEDIF(HRDataset_clean[[#This Row],[DOB]], TODAY(), "Y")</f>
        <v>44</v>
      </c>
      <c r="P189">
        <f ca="1">DATEDIF(HRDataset_clean[[#This Row],[DateofHire]], IF(HRDataset_clean[[#This Row],[DateofTermination]]="", TODAY(),HRDataset_clean[[#This Row],[DateofTermination]]),"Y")</f>
        <v>13</v>
      </c>
    </row>
    <row r="190" spans="1:16" x14ac:dyDescent="0.35">
      <c r="A190" t="s">
        <v>591</v>
      </c>
      <c r="B190">
        <v>10298</v>
      </c>
      <c r="C190">
        <v>1</v>
      </c>
      <c r="D190" s="2">
        <v>55800</v>
      </c>
      <c r="E190" s="3" t="s">
        <v>341</v>
      </c>
      <c r="F190" s="1">
        <v>31227</v>
      </c>
      <c r="G190" t="s">
        <v>328</v>
      </c>
      <c r="H190" t="s">
        <v>329</v>
      </c>
      <c r="I190" s="1">
        <v>40770</v>
      </c>
      <c r="J190" s="1">
        <v>41886</v>
      </c>
      <c r="K190" t="s">
        <v>367</v>
      </c>
      <c r="L190" t="s">
        <v>337</v>
      </c>
      <c r="M190" t="s">
        <v>332</v>
      </c>
      <c r="N190" t="s">
        <v>359</v>
      </c>
      <c r="O190">
        <f ca="1">DATEDIF(HRDataset_clean[[#This Row],[DOB]], TODAY(), "Y")</f>
        <v>40</v>
      </c>
      <c r="P190">
        <f ca="1">DATEDIF(HRDataset_clean[[#This Row],[DateofHire]], IF(HRDataset_clean[[#This Row],[DateofTermination]]="", TODAY(),HRDataset_clean[[#This Row],[DateofTermination]]),"Y")</f>
        <v>3</v>
      </c>
    </row>
    <row r="191" spans="1:16" x14ac:dyDescent="0.35">
      <c r="A191" t="s">
        <v>592</v>
      </c>
      <c r="B191">
        <v>10213</v>
      </c>
      <c r="C191">
        <v>1</v>
      </c>
      <c r="D191" s="2">
        <v>58207</v>
      </c>
      <c r="E191" s="3" t="s">
        <v>341</v>
      </c>
      <c r="F191" s="1">
        <v>33833</v>
      </c>
      <c r="G191" t="s">
        <v>328</v>
      </c>
      <c r="H191" t="s">
        <v>329</v>
      </c>
      <c r="I191" s="1">
        <v>40854</v>
      </c>
      <c r="K191" t="s">
        <v>330</v>
      </c>
      <c r="L191" t="s">
        <v>331</v>
      </c>
      <c r="M191" t="s">
        <v>332</v>
      </c>
      <c r="N191" t="s">
        <v>365</v>
      </c>
      <c r="O191">
        <f ca="1">DATEDIF(HRDataset_clean[[#This Row],[DOB]], TODAY(), "Y")</f>
        <v>33</v>
      </c>
      <c r="P191">
        <f ca="1">DATEDIF(HRDataset_clean[[#This Row],[DateofHire]], IF(HRDataset_clean[[#This Row],[DateofTermination]]="", TODAY(),HRDataset_clean[[#This Row],[DateofTermination]]),"Y")</f>
        <v>14</v>
      </c>
    </row>
    <row r="192" spans="1:16" x14ac:dyDescent="0.35">
      <c r="A192" t="s">
        <v>593</v>
      </c>
      <c r="B192">
        <v>10288</v>
      </c>
      <c r="C192">
        <v>1</v>
      </c>
      <c r="D192" s="2">
        <v>157000</v>
      </c>
      <c r="E192" s="3" t="s">
        <v>594</v>
      </c>
      <c r="F192" s="1">
        <v>31690</v>
      </c>
      <c r="G192" t="s">
        <v>328</v>
      </c>
      <c r="H192" t="s">
        <v>378</v>
      </c>
      <c r="I192" s="1">
        <v>40954</v>
      </c>
      <c r="K192" t="s">
        <v>330</v>
      </c>
      <c r="L192" t="s">
        <v>331</v>
      </c>
      <c r="M192" t="s">
        <v>338</v>
      </c>
      <c r="N192" t="s">
        <v>412</v>
      </c>
      <c r="O192">
        <f ca="1">DATEDIF(HRDataset_clean[[#This Row],[DOB]], TODAY(), "Y")</f>
        <v>39</v>
      </c>
      <c r="P192">
        <f ca="1">DATEDIF(HRDataset_clean[[#This Row],[DateofHire]], IF(HRDataset_clean[[#This Row],[DateofTermination]]="", TODAY(),HRDataset_clean[[#This Row],[DateofTermination]]),"Y")</f>
        <v>13</v>
      </c>
    </row>
    <row r="193" spans="1:16" x14ac:dyDescent="0.35">
      <c r="A193" t="s">
        <v>595</v>
      </c>
      <c r="B193">
        <v>10025</v>
      </c>
      <c r="C193">
        <v>0</v>
      </c>
      <c r="D193" s="2">
        <v>72460</v>
      </c>
      <c r="E193" s="3" t="s">
        <v>341</v>
      </c>
      <c r="F193" s="1">
        <v>25682</v>
      </c>
      <c r="G193" t="s">
        <v>342</v>
      </c>
      <c r="H193" t="s">
        <v>329</v>
      </c>
      <c r="I193" s="1">
        <v>41407</v>
      </c>
      <c r="K193" t="s">
        <v>330</v>
      </c>
      <c r="L193" t="s">
        <v>331</v>
      </c>
      <c r="M193" t="s">
        <v>332</v>
      </c>
      <c r="N193" t="s">
        <v>344</v>
      </c>
      <c r="O193">
        <f ca="1">DATEDIF(HRDataset_clean[[#This Row],[DOB]], TODAY(), "Y")</f>
        <v>55</v>
      </c>
      <c r="P193">
        <f ca="1">DATEDIF(HRDataset_clean[[#This Row],[DateofHire]], IF(HRDataset_clean[[#This Row],[DateofTermination]]="", TODAY(),HRDataset_clean[[#This Row],[DateofTermination]]),"Y")</f>
        <v>12</v>
      </c>
    </row>
    <row r="194" spans="1:16" x14ac:dyDescent="0.35">
      <c r="A194" t="s">
        <v>596</v>
      </c>
      <c r="B194">
        <v>10223</v>
      </c>
      <c r="C194">
        <v>1</v>
      </c>
      <c r="D194" s="2">
        <v>72106</v>
      </c>
      <c r="E194" s="3" t="s">
        <v>341</v>
      </c>
      <c r="F194" s="1">
        <v>28097</v>
      </c>
      <c r="G194" t="s">
        <v>328</v>
      </c>
      <c r="H194" t="s">
        <v>329</v>
      </c>
      <c r="I194" s="1">
        <v>40917</v>
      </c>
      <c r="K194" t="s">
        <v>330</v>
      </c>
      <c r="L194" t="s">
        <v>331</v>
      </c>
      <c r="M194" t="s">
        <v>332</v>
      </c>
      <c r="N194" t="s">
        <v>371</v>
      </c>
      <c r="O194">
        <f ca="1">DATEDIF(HRDataset_clean[[#This Row],[DOB]], TODAY(), "Y")</f>
        <v>49</v>
      </c>
      <c r="P194">
        <f ca="1">DATEDIF(HRDataset_clean[[#This Row],[DateofHire]], IF(HRDataset_clean[[#This Row],[DateofTermination]]="", TODAY(),HRDataset_clean[[#This Row],[DateofTermination]]),"Y")</f>
        <v>13</v>
      </c>
    </row>
    <row r="195" spans="1:16" x14ac:dyDescent="0.35">
      <c r="A195" t="s">
        <v>597</v>
      </c>
      <c r="B195">
        <v>10151</v>
      </c>
      <c r="C195">
        <v>0</v>
      </c>
      <c r="D195" s="2">
        <v>52599</v>
      </c>
      <c r="E195" s="3" t="s">
        <v>484</v>
      </c>
      <c r="F195" s="1">
        <v>28949</v>
      </c>
      <c r="G195" t="s">
        <v>342</v>
      </c>
      <c r="H195" t="s">
        <v>329</v>
      </c>
      <c r="I195" s="1">
        <v>42051</v>
      </c>
      <c r="K195" t="s">
        <v>330</v>
      </c>
      <c r="L195" t="s">
        <v>331</v>
      </c>
      <c r="M195" t="s">
        <v>338</v>
      </c>
      <c r="N195" t="s">
        <v>362</v>
      </c>
      <c r="O195">
        <f ca="1">DATEDIF(HRDataset_clean[[#This Row],[DOB]], TODAY(), "Y")</f>
        <v>46</v>
      </c>
      <c r="P195">
        <f ca="1">DATEDIF(HRDataset_clean[[#This Row],[DateofHire]], IF(HRDataset_clean[[#This Row],[DateofTermination]]="", TODAY(),HRDataset_clean[[#This Row],[DateofTermination]]),"Y")</f>
        <v>10</v>
      </c>
    </row>
    <row r="196" spans="1:16" x14ac:dyDescent="0.35">
      <c r="A196" t="s">
        <v>598</v>
      </c>
      <c r="B196">
        <v>10254</v>
      </c>
      <c r="C196">
        <v>0</v>
      </c>
      <c r="D196" s="2">
        <v>63430</v>
      </c>
      <c r="E196" s="3" t="s">
        <v>327</v>
      </c>
      <c r="F196" s="1">
        <v>30870</v>
      </c>
      <c r="G196" t="s">
        <v>342</v>
      </c>
      <c r="H196" t="s">
        <v>329</v>
      </c>
      <c r="I196" s="1">
        <v>41365</v>
      </c>
      <c r="K196" t="s">
        <v>330</v>
      </c>
      <c r="L196" t="s">
        <v>331</v>
      </c>
      <c r="M196" t="s">
        <v>332</v>
      </c>
      <c r="N196" t="s">
        <v>346</v>
      </c>
      <c r="O196">
        <f ca="1">DATEDIF(HRDataset_clean[[#This Row],[DOB]], TODAY(), "Y")</f>
        <v>41</v>
      </c>
      <c r="P196">
        <f ca="1">DATEDIF(HRDataset_clean[[#This Row],[DateofHire]], IF(HRDataset_clean[[#This Row],[DateofTermination]]="", TODAY(),HRDataset_clean[[#This Row],[DateofTermination]]),"Y")</f>
        <v>12</v>
      </c>
    </row>
    <row r="197" spans="1:16" x14ac:dyDescent="0.35">
      <c r="A197" t="s">
        <v>599</v>
      </c>
      <c r="B197">
        <v>10120</v>
      </c>
      <c r="C197">
        <v>1</v>
      </c>
      <c r="D197" s="2">
        <v>74417</v>
      </c>
      <c r="E197" s="3" t="s">
        <v>341</v>
      </c>
      <c r="F197" s="1">
        <v>27364</v>
      </c>
      <c r="G197" t="s">
        <v>328</v>
      </c>
      <c r="H197" t="s">
        <v>329</v>
      </c>
      <c r="I197" s="1">
        <v>41407</v>
      </c>
      <c r="K197" t="s">
        <v>330</v>
      </c>
      <c r="L197" t="s">
        <v>331</v>
      </c>
      <c r="M197" t="s">
        <v>332</v>
      </c>
      <c r="N197" t="s">
        <v>333</v>
      </c>
      <c r="O197">
        <f ca="1">DATEDIF(HRDataset_clean[[#This Row],[DOB]], TODAY(), "Y")</f>
        <v>51</v>
      </c>
      <c r="P197">
        <f ca="1">DATEDIF(HRDataset_clean[[#This Row],[DateofHire]], IF(HRDataset_clean[[#This Row],[DateofTermination]]="", TODAY(),HRDataset_clean[[#This Row],[DateofTermination]]),"Y")</f>
        <v>12</v>
      </c>
    </row>
    <row r="198" spans="1:16" x14ac:dyDescent="0.35">
      <c r="A198" t="s">
        <v>600</v>
      </c>
      <c r="B198">
        <v>10216</v>
      </c>
      <c r="C198">
        <v>1</v>
      </c>
      <c r="D198" s="2">
        <v>57575</v>
      </c>
      <c r="E198" s="3" t="s">
        <v>327</v>
      </c>
      <c r="F198" s="1">
        <v>29329</v>
      </c>
      <c r="G198" t="s">
        <v>328</v>
      </c>
      <c r="H198" t="s">
        <v>329</v>
      </c>
      <c r="I198" s="1">
        <v>41463</v>
      </c>
      <c r="K198" t="s">
        <v>330</v>
      </c>
      <c r="L198" t="s">
        <v>331</v>
      </c>
      <c r="M198" t="s">
        <v>332</v>
      </c>
      <c r="N198" t="s">
        <v>344</v>
      </c>
      <c r="O198">
        <f ca="1">DATEDIF(HRDataset_clean[[#This Row],[DOB]], TODAY(), "Y")</f>
        <v>45</v>
      </c>
      <c r="P198">
        <f ca="1">DATEDIF(HRDataset_clean[[#This Row],[DateofHire]], IF(HRDataset_clean[[#This Row],[DateofTermination]]="", TODAY(),HRDataset_clean[[#This Row],[DateofTermination]]),"Y")</f>
        <v>12</v>
      </c>
    </row>
    <row r="199" spans="1:16" x14ac:dyDescent="0.35">
      <c r="A199" t="s">
        <v>601</v>
      </c>
      <c r="B199">
        <v>10079</v>
      </c>
      <c r="C199">
        <v>1</v>
      </c>
      <c r="D199" s="2">
        <v>87921</v>
      </c>
      <c r="E199" s="3" t="s">
        <v>564</v>
      </c>
      <c r="F199" s="1">
        <v>25683</v>
      </c>
      <c r="G199" t="s">
        <v>328</v>
      </c>
      <c r="H199" t="s">
        <v>329</v>
      </c>
      <c r="I199" s="1">
        <v>42776</v>
      </c>
      <c r="K199" t="s">
        <v>330</v>
      </c>
      <c r="L199" t="s">
        <v>331</v>
      </c>
      <c r="M199" t="s">
        <v>338</v>
      </c>
      <c r="N199" t="s">
        <v>459</v>
      </c>
      <c r="O199">
        <f ca="1">DATEDIF(HRDataset_clean[[#This Row],[DOB]], TODAY(), "Y")</f>
        <v>55</v>
      </c>
      <c r="P199">
        <f ca="1">DATEDIF(HRDataset_clean[[#This Row],[DateofHire]], IF(HRDataset_clean[[#This Row],[DateofTermination]]="", TODAY(),HRDataset_clean[[#This Row],[DateofTermination]]),"Y")</f>
        <v>8</v>
      </c>
    </row>
    <row r="200" spans="1:16" x14ac:dyDescent="0.35">
      <c r="A200" t="s">
        <v>602</v>
      </c>
      <c r="B200">
        <v>10215</v>
      </c>
      <c r="C200">
        <v>1</v>
      </c>
      <c r="D200" s="2">
        <v>50470</v>
      </c>
      <c r="E200" s="3" t="s">
        <v>327</v>
      </c>
      <c r="F200" s="1">
        <v>32630</v>
      </c>
      <c r="G200" t="s">
        <v>328</v>
      </c>
      <c r="H200" t="s">
        <v>329</v>
      </c>
      <c r="I200" s="1">
        <v>40812</v>
      </c>
      <c r="J200" s="1">
        <v>41733</v>
      </c>
      <c r="K200" t="s">
        <v>348</v>
      </c>
      <c r="L200" t="s">
        <v>337</v>
      </c>
      <c r="M200" t="s">
        <v>332</v>
      </c>
      <c r="N200" t="s">
        <v>349</v>
      </c>
      <c r="O200">
        <f ca="1">DATEDIF(HRDataset_clean[[#This Row],[DOB]], TODAY(), "Y")</f>
        <v>36</v>
      </c>
      <c r="P200">
        <f ca="1">DATEDIF(HRDataset_clean[[#This Row],[DateofHire]], IF(HRDataset_clean[[#This Row],[DateofTermination]]="", TODAY(),HRDataset_clean[[#This Row],[DateofTermination]]),"Y")</f>
        <v>2</v>
      </c>
    </row>
    <row r="201" spans="1:16" x14ac:dyDescent="0.35">
      <c r="A201" t="s">
        <v>603</v>
      </c>
      <c r="B201">
        <v>10185</v>
      </c>
      <c r="C201">
        <v>1</v>
      </c>
      <c r="D201" s="2">
        <v>46664</v>
      </c>
      <c r="E201" s="3" t="s">
        <v>327</v>
      </c>
      <c r="F201" s="1">
        <v>30403</v>
      </c>
      <c r="G201" t="s">
        <v>328</v>
      </c>
      <c r="H201" t="s">
        <v>329</v>
      </c>
      <c r="I201" s="1">
        <v>41365</v>
      </c>
      <c r="J201" s="1">
        <v>42515</v>
      </c>
      <c r="K201" t="s">
        <v>455</v>
      </c>
      <c r="L201" t="s">
        <v>337</v>
      </c>
      <c r="M201" t="s">
        <v>332</v>
      </c>
      <c r="N201" t="s">
        <v>351</v>
      </c>
      <c r="O201">
        <f ca="1">DATEDIF(HRDataset_clean[[#This Row],[DOB]], TODAY(), "Y")</f>
        <v>42</v>
      </c>
      <c r="P201">
        <f ca="1">DATEDIF(HRDataset_clean[[#This Row],[DateofHire]], IF(HRDataset_clean[[#This Row],[DateofTermination]]="", TODAY(),HRDataset_clean[[#This Row],[DateofTermination]]),"Y")</f>
        <v>3</v>
      </c>
    </row>
    <row r="202" spans="1:16" x14ac:dyDescent="0.35">
      <c r="A202" t="s">
        <v>604</v>
      </c>
      <c r="B202">
        <v>10063</v>
      </c>
      <c r="C202">
        <v>1</v>
      </c>
      <c r="D202" s="2">
        <v>48495</v>
      </c>
      <c r="E202" s="3" t="s">
        <v>327</v>
      </c>
      <c r="F202" s="1">
        <v>28223</v>
      </c>
      <c r="G202" t="s">
        <v>328</v>
      </c>
      <c r="H202" t="s">
        <v>329</v>
      </c>
      <c r="I202" s="1">
        <v>41771</v>
      </c>
      <c r="K202" t="s">
        <v>330</v>
      </c>
      <c r="L202" t="s">
        <v>331</v>
      </c>
      <c r="M202" t="s">
        <v>332</v>
      </c>
      <c r="N202" t="s">
        <v>357</v>
      </c>
      <c r="O202">
        <f ca="1">DATEDIF(HRDataset_clean[[#This Row],[DOB]], TODAY(), "Y")</f>
        <v>48</v>
      </c>
      <c r="P202">
        <f ca="1">DATEDIF(HRDataset_clean[[#This Row],[DateofHire]], IF(HRDataset_clean[[#This Row],[DateofTermination]]="", TODAY(),HRDataset_clean[[#This Row],[DateofTermination]]),"Y")</f>
        <v>11</v>
      </c>
    </row>
    <row r="203" spans="1:16" x14ac:dyDescent="0.35">
      <c r="A203" t="s">
        <v>605</v>
      </c>
      <c r="B203">
        <v>10037</v>
      </c>
      <c r="C203">
        <v>0</v>
      </c>
      <c r="D203" s="2">
        <v>52984</v>
      </c>
      <c r="E203" s="3" t="s">
        <v>327</v>
      </c>
      <c r="F203" s="1">
        <v>24626</v>
      </c>
      <c r="G203" t="s">
        <v>342</v>
      </c>
      <c r="H203" t="s">
        <v>329</v>
      </c>
      <c r="I203" s="1">
        <v>41365</v>
      </c>
      <c r="K203" t="s">
        <v>330</v>
      </c>
      <c r="L203" t="s">
        <v>331</v>
      </c>
      <c r="M203" t="s">
        <v>332</v>
      </c>
      <c r="N203" t="s">
        <v>359</v>
      </c>
      <c r="O203">
        <f ca="1">DATEDIF(HRDataset_clean[[#This Row],[DOB]], TODAY(), "Y")</f>
        <v>58</v>
      </c>
      <c r="P203">
        <f ca="1">DATEDIF(HRDataset_clean[[#This Row],[DateofHire]], IF(HRDataset_clean[[#This Row],[DateofTermination]]="", TODAY(),HRDataset_clean[[#This Row],[DateofTermination]]),"Y")</f>
        <v>12</v>
      </c>
    </row>
    <row r="204" spans="1:16" x14ac:dyDescent="0.35">
      <c r="A204" t="s">
        <v>606</v>
      </c>
      <c r="B204">
        <v>10042</v>
      </c>
      <c r="C204">
        <v>0</v>
      </c>
      <c r="D204" s="2">
        <v>63695</v>
      </c>
      <c r="E204" s="3" t="s">
        <v>405</v>
      </c>
      <c r="F204" s="1">
        <v>32598</v>
      </c>
      <c r="G204" t="s">
        <v>342</v>
      </c>
      <c r="H204" t="s">
        <v>329</v>
      </c>
      <c r="I204" s="1">
        <v>41463</v>
      </c>
      <c r="K204" t="s">
        <v>330</v>
      </c>
      <c r="L204" t="s">
        <v>331</v>
      </c>
      <c r="M204" t="s">
        <v>406</v>
      </c>
      <c r="N204" t="s">
        <v>424</v>
      </c>
      <c r="O204">
        <f ca="1">DATEDIF(HRDataset_clean[[#This Row],[DOB]], TODAY(), "Y")</f>
        <v>36</v>
      </c>
      <c r="P204">
        <f ca="1">DATEDIF(HRDataset_clean[[#This Row],[DateofHire]], IF(HRDataset_clean[[#This Row],[DateofTermination]]="", TODAY(),HRDataset_clean[[#This Row],[DateofTermination]]),"Y")</f>
        <v>12</v>
      </c>
    </row>
    <row r="205" spans="1:16" x14ac:dyDescent="0.35">
      <c r="A205" t="s">
        <v>607</v>
      </c>
      <c r="B205">
        <v>10206</v>
      </c>
      <c r="C205">
        <v>0</v>
      </c>
      <c r="D205" s="2">
        <v>62061</v>
      </c>
      <c r="E205" s="3" t="s">
        <v>327</v>
      </c>
      <c r="F205" s="1">
        <v>30870</v>
      </c>
      <c r="G205" t="s">
        <v>342</v>
      </c>
      <c r="H205" t="s">
        <v>329</v>
      </c>
      <c r="I205" s="1">
        <v>41463</v>
      </c>
      <c r="K205" t="s">
        <v>330</v>
      </c>
      <c r="L205" t="s">
        <v>331</v>
      </c>
      <c r="M205" t="s">
        <v>332</v>
      </c>
      <c r="N205" t="s">
        <v>365</v>
      </c>
      <c r="O205">
        <f ca="1">DATEDIF(HRDataset_clean[[#This Row],[DOB]], TODAY(), "Y")</f>
        <v>41</v>
      </c>
      <c r="P205">
        <f ca="1">DATEDIF(HRDataset_clean[[#This Row],[DateofHire]], IF(HRDataset_clean[[#This Row],[DateofTermination]]="", TODAY(),HRDataset_clean[[#This Row],[DateofTermination]]),"Y")</f>
        <v>12</v>
      </c>
    </row>
    <row r="206" spans="1:16" x14ac:dyDescent="0.35">
      <c r="A206" t="s">
        <v>608</v>
      </c>
      <c r="B206">
        <v>10104</v>
      </c>
      <c r="C206">
        <v>0</v>
      </c>
      <c r="D206" s="2">
        <v>66738</v>
      </c>
      <c r="E206" s="3" t="s">
        <v>341</v>
      </c>
      <c r="F206" s="1">
        <v>31374</v>
      </c>
      <c r="G206" t="s">
        <v>342</v>
      </c>
      <c r="H206" t="s">
        <v>329</v>
      </c>
      <c r="I206" s="1">
        <v>41953</v>
      </c>
      <c r="K206" t="s">
        <v>330</v>
      </c>
      <c r="L206" t="s">
        <v>331</v>
      </c>
      <c r="M206" t="s">
        <v>332</v>
      </c>
      <c r="N206" t="s">
        <v>346</v>
      </c>
      <c r="O206">
        <f ca="1">DATEDIF(HRDataset_clean[[#This Row],[DOB]], TODAY(), "Y")</f>
        <v>40</v>
      </c>
      <c r="P206">
        <f ca="1">DATEDIF(HRDataset_clean[[#This Row],[DateofHire]], IF(HRDataset_clean[[#This Row],[DateofTermination]]="", TODAY(),HRDataset_clean[[#This Row],[DateofTermination]]),"Y")</f>
        <v>11</v>
      </c>
    </row>
    <row r="207" spans="1:16" x14ac:dyDescent="0.35">
      <c r="A207" t="s">
        <v>609</v>
      </c>
      <c r="B207">
        <v>10303</v>
      </c>
      <c r="C207">
        <v>0</v>
      </c>
      <c r="D207" s="2">
        <v>52674</v>
      </c>
      <c r="E207" s="3" t="s">
        <v>327</v>
      </c>
      <c r="F207" s="1">
        <v>29494</v>
      </c>
      <c r="G207" t="s">
        <v>342</v>
      </c>
      <c r="H207" t="s">
        <v>329</v>
      </c>
      <c r="I207" s="1">
        <v>41729</v>
      </c>
      <c r="J207" s="1">
        <v>43221</v>
      </c>
      <c r="K207" t="s">
        <v>381</v>
      </c>
      <c r="L207" t="s">
        <v>375</v>
      </c>
      <c r="M207" t="s">
        <v>332</v>
      </c>
      <c r="N207" t="s">
        <v>344</v>
      </c>
      <c r="O207">
        <f ca="1">DATEDIF(HRDataset_clean[[#This Row],[DOB]], TODAY(), "Y")</f>
        <v>45</v>
      </c>
      <c r="P207">
        <f ca="1">DATEDIF(HRDataset_clean[[#This Row],[DateofHire]], IF(HRDataset_clean[[#This Row],[DateofTermination]]="", TODAY(),HRDataset_clean[[#This Row],[DateofTermination]]),"Y")</f>
        <v>4</v>
      </c>
    </row>
    <row r="208" spans="1:16" x14ac:dyDescent="0.35">
      <c r="A208" t="s">
        <v>610</v>
      </c>
      <c r="B208">
        <v>10078</v>
      </c>
      <c r="C208">
        <v>0</v>
      </c>
      <c r="D208" s="2">
        <v>71966</v>
      </c>
      <c r="E208" s="3" t="s">
        <v>341</v>
      </c>
      <c r="F208" s="1">
        <v>19035</v>
      </c>
      <c r="G208" t="s">
        <v>342</v>
      </c>
      <c r="H208" t="s">
        <v>329</v>
      </c>
      <c r="I208" s="1">
        <v>41043</v>
      </c>
      <c r="J208" s="1">
        <v>41505</v>
      </c>
      <c r="K208" t="s">
        <v>367</v>
      </c>
      <c r="L208" t="s">
        <v>337</v>
      </c>
      <c r="M208" t="s">
        <v>332</v>
      </c>
      <c r="N208" t="s">
        <v>349</v>
      </c>
      <c r="O208">
        <f ca="1">DATEDIF(HRDataset_clean[[#This Row],[DOB]], TODAY(), "Y")</f>
        <v>73</v>
      </c>
      <c r="P208">
        <f ca="1">DATEDIF(HRDataset_clean[[#This Row],[DateofHire]], IF(HRDataset_clean[[#This Row],[DateofTermination]]="", TODAY(),HRDataset_clean[[#This Row],[DateofTermination]]),"Y")</f>
        <v>1</v>
      </c>
    </row>
    <row r="209" spans="1:16" x14ac:dyDescent="0.35">
      <c r="A209" t="s">
        <v>611</v>
      </c>
      <c r="B209">
        <v>10121</v>
      </c>
      <c r="C209">
        <v>0</v>
      </c>
      <c r="D209" s="2">
        <v>63051</v>
      </c>
      <c r="E209" s="3" t="s">
        <v>405</v>
      </c>
      <c r="F209" s="1">
        <v>33004</v>
      </c>
      <c r="G209" t="s">
        <v>342</v>
      </c>
      <c r="H209" t="s">
        <v>329</v>
      </c>
      <c r="I209" s="1">
        <v>41547</v>
      </c>
      <c r="K209" t="s">
        <v>330</v>
      </c>
      <c r="L209" t="s">
        <v>331</v>
      </c>
      <c r="M209" t="s">
        <v>406</v>
      </c>
      <c r="N209" t="s">
        <v>424</v>
      </c>
      <c r="O209">
        <f ca="1">DATEDIF(HRDataset_clean[[#This Row],[DOB]], TODAY(), "Y")</f>
        <v>35</v>
      </c>
      <c r="P209">
        <f ca="1">DATEDIF(HRDataset_clean[[#This Row],[DateofHire]], IF(HRDataset_clean[[#This Row],[DateofTermination]]="", TODAY(),HRDataset_clean[[#This Row],[DateofTermination]]),"Y")</f>
        <v>12</v>
      </c>
    </row>
    <row r="210" spans="1:16" x14ac:dyDescent="0.35">
      <c r="A210" t="s">
        <v>612</v>
      </c>
      <c r="B210">
        <v>10021</v>
      </c>
      <c r="C210">
        <v>1</v>
      </c>
      <c r="D210" s="2">
        <v>47414</v>
      </c>
      <c r="E210" s="3" t="s">
        <v>327</v>
      </c>
      <c r="F210" s="1">
        <v>28105</v>
      </c>
      <c r="G210" t="s">
        <v>328</v>
      </c>
      <c r="H210" t="s">
        <v>329</v>
      </c>
      <c r="I210" s="1">
        <v>41547</v>
      </c>
      <c r="K210" t="s">
        <v>330</v>
      </c>
      <c r="L210" t="s">
        <v>331</v>
      </c>
      <c r="M210" t="s">
        <v>332</v>
      </c>
      <c r="N210" t="s">
        <v>371</v>
      </c>
      <c r="O210">
        <f ca="1">DATEDIF(HRDataset_clean[[#This Row],[DOB]], TODAY(), "Y")</f>
        <v>49</v>
      </c>
      <c r="P210">
        <f ca="1">DATEDIF(HRDataset_clean[[#This Row],[DateofHire]], IF(HRDataset_clean[[#This Row],[DateofTermination]]="", TODAY(),HRDataset_clean[[#This Row],[DateofTermination]]),"Y")</f>
        <v>12</v>
      </c>
    </row>
    <row r="211" spans="1:16" x14ac:dyDescent="0.35">
      <c r="A211" t="s">
        <v>613</v>
      </c>
      <c r="B211">
        <v>10281</v>
      </c>
      <c r="C211">
        <v>1</v>
      </c>
      <c r="D211" s="2">
        <v>53060</v>
      </c>
      <c r="E211" s="3" t="s">
        <v>327</v>
      </c>
      <c r="F211" s="1">
        <v>29183</v>
      </c>
      <c r="G211" t="s">
        <v>328</v>
      </c>
      <c r="H211" t="s">
        <v>329</v>
      </c>
      <c r="I211" s="1">
        <v>41687</v>
      </c>
      <c r="K211" t="s">
        <v>330</v>
      </c>
      <c r="L211" t="s">
        <v>331</v>
      </c>
      <c r="M211" t="s">
        <v>332</v>
      </c>
      <c r="N211" t="s">
        <v>333</v>
      </c>
      <c r="O211">
        <f ca="1">DATEDIF(HRDataset_clean[[#This Row],[DOB]], TODAY(), "Y")</f>
        <v>46</v>
      </c>
      <c r="P211">
        <f ca="1">DATEDIF(HRDataset_clean[[#This Row],[DateofHire]], IF(HRDataset_clean[[#This Row],[DateofTermination]]="", TODAY(),HRDataset_clean[[#This Row],[DateofTermination]]),"Y")</f>
        <v>11</v>
      </c>
    </row>
    <row r="212" spans="1:16" x14ac:dyDescent="0.35">
      <c r="A212" t="s">
        <v>614</v>
      </c>
      <c r="B212">
        <v>10041</v>
      </c>
      <c r="C212">
        <v>1</v>
      </c>
      <c r="D212" s="2">
        <v>68829</v>
      </c>
      <c r="E212" s="3" t="s">
        <v>405</v>
      </c>
      <c r="F212" s="1">
        <v>30090</v>
      </c>
      <c r="G212" t="s">
        <v>328</v>
      </c>
      <c r="H212" t="s">
        <v>329</v>
      </c>
      <c r="I212" s="1">
        <v>42009</v>
      </c>
      <c r="K212" t="s">
        <v>330</v>
      </c>
      <c r="L212" t="s">
        <v>331</v>
      </c>
      <c r="M212" t="s">
        <v>406</v>
      </c>
      <c r="N212" t="s">
        <v>407</v>
      </c>
      <c r="O212">
        <f ca="1">DATEDIF(HRDataset_clean[[#This Row],[DOB]], TODAY(), "Y")</f>
        <v>43</v>
      </c>
      <c r="P212">
        <f ca="1">DATEDIF(HRDataset_clean[[#This Row],[DateofHire]], IF(HRDataset_clean[[#This Row],[DateofTermination]]="", TODAY(),HRDataset_clean[[#This Row],[DateofTermination]]),"Y")</f>
        <v>10</v>
      </c>
    </row>
    <row r="213" spans="1:16" x14ac:dyDescent="0.35">
      <c r="A213" t="s">
        <v>615</v>
      </c>
      <c r="B213">
        <v>10148</v>
      </c>
      <c r="C213">
        <v>0</v>
      </c>
      <c r="D213" s="2">
        <v>63515</v>
      </c>
      <c r="E213" s="3" t="s">
        <v>327</v>
      </c>
      <c r="F213" s="1">
        <v>28976</v>
      </c>
      <c r="G213" t="s">
        <v>342</v>
      </c>
      <c r="H213" t="s">
        <v>329</v>
      </c>
      <c r="I213" s="1">
        <v>40581</v>
      </c>
      <c r="J213" s="1">
        <v>41651</v>
      </c>
      <c r="K213" t="s">
        <v>364</v>
      </c>
      <c r="L213" t="s">
        <v>337</v>
      </c>
      <c r="M213" t="s">
        <v>332</v>
      </c>
      <c r="N213" t="s">
        <v>346</v>
      </c>
      <c r="O213">
        <f ca="1">DATEDIF(HRDataset_clean[[#This Row],[DOB]], TODAY(), "Y")</f>
        <v>46</v>
      </c>
      <c r="P213">
        <f ca="1">DATEDIF(HRDataset_clean[[#This Row],[DateofHire]], IF(HRDataset_clean[[#This Row],[DateofTermination]]="", TODAY(),HRDataset_clean[[#This Row],[DateofTermination]]),"Y")</f>
        <v>2</v>
      </c>
    </row>
    <row r="214" spans="1:16" x14ac:dyDescent="0.35">
      <c r="A214" t="s">
        <v>616</v>
      </c>
      <c r="B214">
        <v>10005</v>
      </c>
      <c r="C214">
        <v>1</v>
      </c>
      <c r="D214" s="2">
        <v>108987</v>
      </c>
      <c r="E214" s="3" t="s">
        <v>353</v>
      </c>
      <c r="F214" s="1">
        <v>28906</v>
      </c>
      <c r="G214" t="s">
        <v>328</v>
      </c>
      <c r="H214" t="s">
        <v>329</v>
      </c>
      <c r="I214" s="1">
        <v>40854</v>
      </c>
      <c r="J214" s="1">
        <v>42254</v>
      </c>
      <c r="K214" t="s">
        <v>364</v>
      </c>
      <c r="L214" t="s">
        <v>337</v>
      </c>
      <c r="M214" t="s">
        <v>354</v>
      </c>
      <c r="N214" t="s">
        <v>355</v>
      </c>
      <c r="O214">
        <f ca="1">DATEDIF(HRDataset_clean[[#This Row],[DOB]], TODAY(), "Y")</f>
        <v>46</v>
      </c>
      <c r="P214">
        <f ca="1">DATEDIF(HRDataset_clean[[#This Row],[DateofHire]], IF(HRDataset_clean[[#This Row],[DateofTermination]]="", TODAY(),HRDataset_clean[[#This Row],[DateofTermination]]),"Y")</f>
        <v>3</v>
      </c>
    </row>
    <row r="215" spans="1:16" x14ac:dyDescent="0.35">
      <c r="A215" t="s">
        <v>617</v>
      </c>
      <c r="B215">
        <v>10259</v>
      </c>
      <c r="C215">
        <v>1</v>
      </c>
      <c r="D215" s="2">
        <v>93093</v>
      </c>
      <c r="E215" s="3" t="s">
        <v>369</v>
      </c>
      <c r="F215" s="1">
        <v>30930</v>
      </c>
      <c r="G215" t="s">
        <v>328</v>
      </c>
      <c r="H215" t="s">
        <v>329</v>
      </c>
      <c r="I215" s="1">
        <v>41974</v>
      </c>
      <c r="J215" s="1">
        <v>42491</v>
      </c>
      <c r="K215" t="s">
        <v>381</v>
      </c>
      <c r="L215" t="s">
        <v>337</v>
      </c>
      <c r="M215" t="s">
        <v>338</v>
      </c>
      <c r="N215" t="s">
        <v>339</v>
      </c>
      <c r="O215">
        <f ca="1">DATEDIF(HRDataset_clean[[#This Row],[DOB]], TODAY(), "Y")</f>
        <v>41</v>
      </c>
      <c r="P215">
        <f ca="1">DATEDIF(HRDataset_clean[[#This Row],[DateofHire]], IF(HRDataset_clean[[#This Row],[DateofTermination]]="", TODAY(),HRDataset_clean[[#This Row],[DateofTermination]]),"Y")</f>
        <v>1</v>
      </c>
    </row>
    <row r="216" spans="1:16" x14ac:dyDescent="0.35">
      <c r="A216" t="s">
        <v>618</v>
      </c>
      <c r="B216">
        <v>10286</v>
      </c>
      <c r="C216">
        <v>1</v>
      </c>
      <c r="D216" s="2">
        <v>53564</v>
      </c>
      <c r="E216" s="3" t="s">
        <v>327</v>
      </c>
      <c r="F216" s="1">
        <v>32219</v>
      </c>
      <c r="G216" t="s">
        <v>328</v>
      </c>
      <c r="H216" t="s">
        <v>329</v>
      </c>
      <c r="I216" s="1">
        <v>40553</v>
      </c>
      <c r="J216" s="1">
        <v>43097</v>
      </c>
      <c r="K216" t="s">
        <v>336</v>
      </c>
      <c r="L216" t="s">
        <v>337</v>
      </c>
      <c r="M216" t="s">
        <v>332</v>
      </c>
      <c r="N216" t="s">
        <v>349</v>
      </c>
      <c r="O216">
        <f ca="1">DATEDIF(HRDataset_clean[[#This Row],[DOB]], TODAY(), "Y")</f>
        <v>37</v>
      </c>
      <c r="P216">
        <f ca="1">DATEDIF(HRDataset_clean[[#This Row],[DateofHire]], IF(HRDataset_clean[[#This Row],[DateofTermination]]="", TODAY(),HRDataset_clean[[#This Row],[DateofTermination]]),"Y")</f>
        <v>6</v>
      </c>
    </row>
    <row r="217" spans="1:16" x14ac:dyDescent="0.35">
      <c r="A217" t="s">
        <v>619</v>
      </c>
      <c r="B217">
        <v>10297</v>
      </c>
      <c r="C217">
        <v>0</v>
      </c>
      <c r="D217" s="2">
        <v>60270</v>
      </c>
      <c r="E217" s="3" t="s">
        <v>341</v>
      </c>
      <c r="F217" s="1">
        <v>32707</v>
      </c>
      <c r="G217" t="s">
        <v>342</v>
      </c>
      <c r="H217" t="s">
        <v>329</v>
      </c>
      <c r="I217" s="1">
        <v>40729</v>
      </c>
      <c r="J217" s="1">
        <v>42262</v>
      </c>
      <c r="K217" t="s">
        <v>367</v>
      </c>
      <c r="L217" t="s">
        <v>337</v>
      </c>
      <c r="M217" t="s">
        <v>332</v>
      </c>
      <c r="N217" t="s">
        <v>351</v>
      </c>
      <c r="O217">
        <f ca="1">DATEDIF(HRDataset_clean[[#This Row],[DOB]], TODAY(), "Y")</f>
        <v>36</v>
      </c>
      <c r="P217">
        <f ca="1">DATEDIF(HRDataset_clean[[#This Row],[DateofHire]], IF(HRDataset_clean[[#This Row],[DateofTermination]]="", TODAY(),HRDataset_clean[[#This Row],[DateofTermination]]),"Y")</f>
        <v>4</v>
      </c>
    </row>
    <row r="218" spans="1:16" x14ac:dyDescent="0.35">
      <c r="A218" t="s">
        <v>620</v>
      </c>
      <c r="B218">
        <v>10171</v>
      </c>
      <c r="C218">
        <v>0</v>
      </c>
      <c r="D218" s="2">
        <v>45998</v>
      </c>
      <c r="E218" s="3" t="s">
        <v>327</v>
      </c>
      <c r="F218" s="1">
        <v>31613</v>
      </c>
      <c r="G218" t="s">
        <v>342</v>
      </c>
      <c r="H218" t="s">
        <v>329</v>
      </c>
      <c r="I218" s="1">
        <v>40679</v>
      </c>
      <c r="J218" s="1">
        <v>42302</v>
      </c>
      <c r="K218" t="s">
        <v>621</v>
      </c>
      <c r="L218" t="s">
        <v>337</v>
      </c>
      <c r="M218" t="s">
        <v>332</v>
      </c>
      <c r="N218" t="s">
        <v>351</v>
      </c>
      <c r="O218">
        <f ca="1">DATEDIF(HRDataset_clean[[#This Row],[DOB]], TODAY(), "Y")</f>
        <v>39</v>
      </c>
      <c r="P218">
        <f ca="1">DATEDIF(HRDataset_clean[[#This Row],[DateofHire]], IF(HRDataset_clean[[#This Row],[DateofTermination]]="", TODAY(),HRDataset_clean[[#This Row],[DateofTermination]]),"Y")</f>
        <v>4</v>
      </c>
    </row>
    <row r="219" spans="1:16" x14ac:dyDescent="0.35">
      <c r="A219" t="s">
        <v>622</v>
      </c>
      <c r="B219">
        <v>10032</v>
      </c>
      <c r="C219">
        <v>0</v>
      </c>
      <c r="D219" s="2">
        <v>57954</v>
      </c>
      <c r="E219" s="3" t="s">
        <v>341</v>
      </c>
      <c r="F219" s="1">
        <v>31641</v>
      </c>
      <c r="G219" t="s">
        <v>342</v>
      </c>
      <c r="H219" t="s">
        <v>329</v>
      </c>
      <c r="I219" s="1">
        <v>40679</v>
      </c>
      <c r="J219" s="1">
        <v>41309</v>
      </c>
      <c r="K219" t="s">
        <v>455</v>
      </c>
      <c r="L219" t="s">
        <v>337</v>
      </c>
      <c r="M219" t="s">
        <v>332</v>
      </c>
      <c r="N219" t="s">
        <v>357</v>
      </c>
      <c r="O219">
        <f ca="1">DATEDIF(HRDataset_clean[[#This Row],[DOB]], TODAY(), "Y")</f>
        <v>39</v>
      </c>
      <c r="P219">
        <f ca="1">DATEDIF(HRDataset_clean[[#This Row],[DateofHire]], IF(HRDataset_clean[[#This Row],[DateofTermination]]="", TODAY(),HRDataset_clean[[#This Row],[DateofTermination]]),"Y")</f>
        <v>1</v>
      </c>
    </row>
    <row r="220" spans="1:16" x14ac:dyDescent="0.35">
      <c r="A220" t="s">
        <v>623</v>
      </c>
      <c r="B220">
        <v>10130</v>
      </c>
      <c r="C220">
        <v>0</v>
      </c>
      <c r="D220" s="2">
        <v>74669</v>
      </c>
      <c r="E220" s="3" t="s">
        <v>396</v>
      </c>
      <c r="F220" s="1">
        <v>28254</v>
      </c>
      <c r="G220" t="s">
        <v>342</v>
      </c>
      <c r="H220" t="s">
        <v>329</v>
      </c>
      <c r="I220" s="1">
        <v>40476</v>
      </c>
      <c r="J220" s="1">
        <v>42508</v>
      </c>
      <c r="K220" t="s">
        <v>364</v>
      </c>
      <c r="L220" t="s">
        <v>337</v>
      </c>
      <c r="M220" t="s">
        <v>332</v>
      </c>
      <c r="N220" t="s">
        <v>398</v>
      </c>
      <c r="O220">
        <f ca="1">DATEDIF(HRDataset_clean[[#This Row],[DOB]], TODAY(), "Y")</f>
        <v>48</v>
      </c>
      <c r="P220">
        <f ca="1">DATEDIF(HRDataset_clean[[#This Row],[DateofHire]], IF(HRDataset_clean[[#This Row],[DateofTermination]]="", TODAY(),HRDataset_clean[[#This Row],[DateofTermination]]),"Y")</f>
        <v>5</v>
      </c>
    </row>
    <row r="221" spans="1:16" x14ac:dyDescent="0.35">
      <c r="A221" t="s">
        <v>624</v>
      </c>
      <c r="B221">
        <v>10217</v>
      </c>
      <c r="C221">
        <v>0</v>
      </c>
      <c r="D221" s="2">
        <v>74226</v>
      </c>
      <c r="E221" s="3" t="s">
        <v>341</v>
      </c>
      <c r="F221" s="1">
        <v>28924</v>
      </c>
      <c r="G221" t="s">
        <v>342</v>
      </c>
      <c r="H221" t="s">
        <v>378</v>
      </c>
      <c r="I221" s="1">
        <v>41001</v>
      </c>
      <c r="K221" t="s">
        <v>330</v>
      </c>
      <c r="L221" t="s">
        <v>331</v>
      </c>
      <c r="M221" t="s">
        <v>332</v>
      </c>
      <c r="N221" t="s">
        <v>359</v>
      </c>
      <c r="O221">
        <f ca="1">DATEDIF(HRDataset_clean[[#This Row],[DOB]], TODAY(), "Y")</f>
        <v>46</v>
      </c>
      <c r="P221">
        <f ca="1">DATEDIF(HRDataset_clean[[#This Row],[DateofHire]], IF(HRDataset_clean[[#This Row],[DateofTermination]]="", TODAY(),HRDataset_clean[[#This Row],[DateofTermination]]),"Y")</f>
        <v>13</v>
      </c>
    </row>
    <row r="222" spans="1:16" x14ac:dyDescent="0.35">
      <c r="A222" t="s">
        <v>625</v>
      </c>
      <c r="B222">
        <v>10016</v>
      </c>
      <c r="C222">
        <v>0</v>
      </c>
      <c r="D222" s="2">
        <v>93554</v>
      </c>
      <c r="E222" s="3" t="s">
        <v>369</v>
      </c>
      <c r="F222" s="1">
        <v>30941</v>
      </c>
      <c r="G222" t="s">
        <v>342</v>
      </c>
      <c r="H222" t="s">
        <v>329</v>
      </c>
      <c r="I222" s="1">
        <v>41953</v>
      </c>
      <c r="K222" t="s">
        <v>330</v>
      </c>
      <c r="L222" t="s">
        <v>331</v>
      </c>
      <c r="M222" t="s">
        <v>338</v>
      </c>
      <c r="N222" t="s">
        <v>339</v>
      </c>
      <c r="O222">
        <f ca="1">DATEDIF(HRDataset_clean[[#This Row],[DOB]], TODAY(), "Y")</f>
        <v>41</v>
      </c>
      <c r="P222">
        <f ca="1">DATEDIF(HRDataset_clean[[#This Row],[DateofHire]], IF(HRDataset_clean[[#This Row],[DateofTermination]]="", TODAY(),HRDataset_clean[[#This Row],[DateofTermination]]),"Y")</f>
        <v>11</v>
      </c>
    </row>
    <row r="223" spans="1:16" x14ac:dyDescent="0.35">
      <c r="A223" t="s">
        <v>626</v>
      </c>
      <c r="B223">
        <v>10050</v>
      </c>
      <c r="C223">
        <v>1</v>
      </c>
      <c r="D223" s="2">
        <v>64724</v>
      </c>
      <c r="E223" s="3" t="s">
        <v>327</v>
      </c>
      <c r="F223" s="1">
        <v>32208</v>
      </c>
      <c r="G223" t="s">
        <v>328</v>
      </c>
      <c r="H223" t="s">
        <v>329</v>
      </c>
      <c r="I223" s="1">
        <v>40729</v>
      </c>
      <c r="J223" s="1">
        <v>41243</v>
      </c>
      <c r="K223" t="s">
        <v>455</v>
      </c>
      <c r="L223" t="s">
        <v>337</v>
      </c>
      <c r="M223" t="s">
        <v>332</v>
      </c>
      <c r="N223" t="s">
        <v>359</v>
      </c>
      <c r="O223">
        <f ca="1">DATEDIF(HRDataset_clean[[#This Row],[DOB]], TODAY(), "Y")</f>
        <v>37</v>
      </c>
      <c r="P223">
        <f ca="1">DATEDIF(HRDataset_clean[[#This Row],[DateofHire]], IF(HRDataset_clean[[#This Row],[DateofTermination]]="", TODAY(),HRDataset_clean[[#This Row],[DateofTermination]]),"Y")</f>
        <v>1</v>
      </c>
    </row>
    <row r="224" spans="1:16" x14ac:dyDescent="0.35">
      <c r="A224" t="s">
        <v>627</v>
      </c>
      <c r="B224">
        <v>10164</v>
      </c>
      <c r="C224">
        <v>1</v>
      </c>
      <c r="D224" s="2">
        <v>47001</v>
      </c>
      <c r="E224" s="3" t="s">
        <v>327</v>
      </c>
      <c r="F224" s="1">
        <v>29913</v>
      </c>
      <c r="G224" t="s">
        <v>328</v>
      </c>
      <c r="H224" t="s">
        <v>329</v>
      </c>
      <c r="I224" s="1">
        <v>39391</v>
      </c>
      <c r="K224" t="s">
        <v>330</v>
      </c>
      <c r="L224" t="s">
        <v>331</v>
      </c>
      <c r="M224" t="s">
        <v>332</v>
      </c>
      <c r="N224" t="s">
        <v>365</v>
      </c>
      <c r="O224">
        <f ca="1">DATEDIF(HRDataset_clean[[#This Row],[DOB]], TODAY(), "Y")</f>
        <v>44</v>
      </c>
      <c r="P224">
        <f ca="1">DATEDIF(HRDataset_clean[[#This Row],[DateofHire]], IF(HRDataset_clean[[#This Row],[DateofTermination]]="", TODAY(),HRDataset_clean[[#This Row],[DateofTermination]]),"Y")</f>
        <v>18</v>
      </c>
    </row>
    <row r="225" spans="1:16" x14ac:dyDescent="0.35">
      <c r="A225" t="s">
        <v>628</v>
      </c>
      <c r="B225">
        <v>10124</v>
      </c>
      <c r="C225">
        <v>0</v>
      </c>
      <c r="D225" s="2">
        <v>61844</v>
      </c>
      <c r="E225" s="3" t="s">
        <v>405</v>
      </c>
      <c r="F225" s="1">
        <v>32384</v>
      </c>
      <c r="G225" t="s">
        <v>342</v>
      </c>
      <c r="H225" t="s">
        <v>329</v>
      </c>
      <c r="I225" s="1">
        <v>40917</v>
      </c>
      <c r="K225" t="s">
        <v>330</v>
      </c>
      <c r="L225" t="s">
        <v>331</v>
      </c>
      <c r="M225" t="s">
        <v>406</v>
      </c>
      <c r="N225" t="s">
        <v>424</v>
      </c>
      <c r="O225">
        <f ca="1">DATEDIF(HRDataset_clean[[#This Row],[DOB]], TODAY(), "Y")</f>
        <v>37</v>
      </c>
      <c r="P225">
        <f ca="1">DATEDIF(HRDataset_clean[[#This Row],[DateofHire]], IF(HRDataset_clean[[#This Row],[DateofTermination]]="", TODAY(),HRDataset_clean[[#This Row],[DateofTermination]]),"Y")</f>
        <v>13</v>
      </c>
    </row>
    <row r="226" spans="1:16" x14ac:dyDescent="0.35">
      <c r="A226" t="s">
        <v>629</v>
      </c>
      <c r="B226">
        <v>10187</v>
      </c>
      <c r="C226">
        <v>0</v>
      </c>
      <c r="D226" s="2">
        <v>46799</v>
      </c>
      <c r="E226" s="3" t="s">
        <v>327</v>
      </c>
      <c r="F226" s="1">
        <v>30970</v>
      </c>
      <c r="G226" t="s">
        <v>342</v>
      </c>
      <c r="H226" t="s">
        <v>378</v>
      </c>
      <c r="I226" s="1">
        <v>40679</v>
      </c>
      <c r="J226" s="1">
        <v>43255</v>
      </c>
      <c r="K226" t="s">
        <v>364</v>
      </c>
      <c r="L226" t="s">
        <v>337</v>
      </c>
      <c r="M226" t="s">
        <v>332</v>
      </c>
      <c r="N226" t="s">
        <v>344</v>
      </c>
      <c r="O226">
        <f ca="1">DATEDIF(HRDataset_clean[[#This Row],[DOB]], TODAY(), "Y")</f>
        <v>41</v>
      </c>
      <c r="P226">
        <f ca="1">DATEDIF(HRDataset_clean[[#This Row],[DateofHire]], IF(HRDataset_clean[[#This Row],[DateofTermination]]="", TODAY(),HRDataset_clean[[#This Row],[DateofTermination]]),"Y")</f>
        <v>7</v>
      </c>
    </row>
    <row r="227" spans="1:16" x14ac:dyDescent="0.35">
      <c r="A227" t="s">
        <v>630</v>
      </c>
      <c r="B227">
        <v>10225</v>
      </c>
      <c r="C227">
        <v>1</v>
      </c>
      <c r="D227" s="2">
        <v>59472</v>
      </c>
      <c r="E227" s="3" t="s">
        <v>327</v>
      </c>
      <c r="F227" s="1">
        <v>22451</v>
      </c>
      <c r="G227" t="s">
        <v>328</v>
      </c>
      <c r="H227" t="s">
        <v>329</v>
      </c>
      <c r="I227" s="1">
        <v>41645</v>
      </c>
      <c r="K227" t="s">
        <v>330</v>
      </c>
      <c r="L227" t="s">
        <v>331</v>
      </c>
      <c r="M227" t="s">
        <v>332</v>
      </c>
      <c r="N227" t="s">
        <v>371</v>
      </c>
      <c r="O227">
        <f ca="1">DATEDIF(HRDataset_clean[[#This Row],[DOB]], TODAY(), "Y")</f>
        <v>64</v>
      </c>
      <c r="P227">
        <f ca="1">DATEDIF(HRDataset_clean[[#This Row],[DateofHire]], IF(HRDataset_clean[[#This Row],[DateofTermination]]="", TODAY(),HRDataset_clean[[#This Row],[DateofTermination]]),"Y")</f>
        <v>11</v>
      </c>
    </row>
    <row r="228" spans="1:16" x14ac:dyDescent="0.35">
      <c r="A228" t="s">
        <v>631</v>
      </c>
      <c r="B228">
        <v>10262</v>
      </c>
      <c r="C228">
        <v>0</v>
      </c>
      <c r="D228" s="2">
        <v>46430</v>
      </c>
      <c r="E228" s="3" t="s">
        <v>327</v>
      </c>
      <c r="F228" s="1">
        <v>25833</v>
      </c>
      <c r="G228" t="s">
        <v>342</v>
      </c>
      <c r="H228" t="s">
        <v>329</v>
      </c>
      <c r="I228" s="1">
        <v>41176</v>
      </c>
      <c r="J228" s="1">
        <v>41443</v>
      </c>
      <c r="K228" t="s">
        <v>367</v>
      </c>
      <c r="L228" t="s">
        <v>337</v>
      </c>
      <c r="M228" t="s">
        <v>332</v>
      </c>
      <c r="N228" t="s">
        <v>344</v>
      </c>
      <c r="O228">
        <f ca="1">DATEDIF(HRDataset_clean[[#This Row],[DOB]], TODAY(), "Y")</f>
        <v>55</v>
      </c>
      <c r="P228">
        <f ca="1">DATEDIF(HRDataset_clean[[#This Row],[DateofHire]], IF(HRDataset_clean[[#This Row],[DateofTermination]]="", TODAY(),HRDataset_clean[[#This Row],[DateofTermination]]),"Y")</f>
        <v>0</v>
      </c>
    </row>
    <row r="229" spans="1:16" x14ac:dyDescent="0.35">
      <c r="A229" t="s">
        <v>632</v>
      </c>
      <c r="B229">
        <v>10131</v>
      </c>
      <c r="C229">
        <v>1</v>
      </c>
      <c r="D229" s="2">
        <v>83363</v>
      </c>
      <c r="E229" s="3" t="s">
        <v>353</v>
      </c>
      <c r="F229" s="1">
        <v>30992</v>
      </c>
      <c r="G229" t="s">
        <v>328</v>
      </c>
      <c r="H229" t="s">
        <v>378</v>
      </c>
      <c r="I229" s="1">
        <v>40595</v>
      </c>
      <c r="J229" s="1">
        <v>42231</v>
      </c>
      <c r="K229" t="s">
        <v>336</v>
      </c>
      <c r="L229" t="s">
        <v>337</v>
      </c>
      <c r="M229" t="s">
        <v>354</v>
      </c>
      <c r="N229" t="s">
        <v>398</v>
      </c>
      <c r="O229">
        <f ca="1">DATEDIF(HRDataset_clean[[#This Row],[DOB]], TODAY(), "Y")</f>
        <v>41</v>
      </c>
      <c r="P229">
        <f ca="1">DATEDIF(HRDataset_clean[[#This Row],[DateofHire]], IF(HRDataset_clean[[#This Row],[DateofTermination]]="", TODAY(),HRDataset_clean[[#This Row],[DateofTermination]]),"Y")</f>
        <v>4</v>
      </c>
    </row>
    <row r="230" spans="1:16" x14ac:dyDescent="0.35">
      <c r="A230" t="s">
        <v>633</v>
      </c>
      <c r="B230">
        <v>10239</v>
      </c>
      <c r="C230">
        <v>0</v>
      </c>
      <c r="D230" s="2">
        <v>95920</v>
      </c>
      <c r="E230" s="3" t="s">
        <v>458</v>
      </c>
      <c r="F230" s="1">
        <v>29353</v>
      </c>
      <c r="G230" t="s">
        <v>342</v>
      </c>
      <c r="H230" t="s">
        <v>329</v>
      </c>
      <c r="I230" s="1">
        <v>42645</v>
      </c>
      <c r="K230" t="s">
        <v>330</v>
      </c>
      <c r="L230" t="s">
        <v>331</v>
      </c>
      <c r="M230" t="s">
        <v>338</v>
      </c>
      <c r="N230" t="s">
        <v>459</v>
      </c>
      <c r="O230">
        <f ca="1">DATEDIF(HRDataset_clean[[#This Row],[DOB]], TODAY(), "Y")</f>
        <v>45</v>
      </c>
      <c r="P230">
        <f ca="1">DATEDIF(HRDataset_clean[[#This Row],[DateofHire]], IF(HRDataset_clean[[#This Row],[DateofTermination]]="", TODAY(),HRDataset_clean[[#This Row],[DateofTermination]]),"Y")</f>
        <v>9</v>
      </c>
    </row>
    <row r="231" spans="1:16" x14ac:dyDescent="0.35">
      <c r="A231" t="s">
        <v>634</v>
      </c>
      <c r="B231">
        <v>10152</v>
      </c>
      <c r="C231">
        <v>1</v>
      </c>
      <c r="D231" s="2">
        <v>61729</v>
      </c>
      <c r="E231" s="3" t="s">
        <v>327</v>
      </c>
      <c r="F231" s="1">
        <v>31047</v>
      </c>
      <c r="G231" t="s">
        <v>328</v>
      </c>
      <c r="H231" t="s">
        <v>329</v>
      </c>
      <c r="I231" s="1">
        <v>40812</v>
      </c>
      <c r="J231" s="1">
        <v>43197</v>
      </c>
      <c r="K231" t="s">
        <v>455</v>
      </c>
      <c r="L231" t="s">
        <v>337</v>
      </c>
      <c r="M231" t="s">
        <v>332</v>
      </c>
      <c r="N231" t="s">
        <v>333</v>
      </c>
      <c r="O231">
        <f ca="1">DATEDIF(HRDataset_clean[[#This Row],[DOB]], TODAY(), "Y")</f>
        <v>40</v>
      </c>
      <c r="P231">
        <f ca="1">DATEDIF(HRDataset_clean[[#This Row],[DateofHire]], IF(HRDataset_clean[[#This Row],[DateofTermination]]="", TODAY(),HRDataset_clean[[#This Row],[DateofTermination]]),"Y")</f>
        <v>6</v>
      </c>
    </row>
    <row r="232" spans="1:16" x14ac:dyDescent="0.35">
      <c r="A232" t="s">
        <v>635</v>
      </c>
      <c r="B232">
        <v>10140</v>
      </c>
      <c r="C232">
        <v>1</v>
      </c>
      <c r="D232" s="2">
        <v>61809</v>
      </c>
      <c r="E232" s="3" t="s">
        <v>405</v>
      </c>
      <c r="F232" s="1">
        <v>20009</v>
      </c>
      <c r="G232" t="s">
        <v>328</v>
      </c>
      <c r="H232" t="s">
        <v>329</v>
      </c>
      <c r="I232" s="1">
        <v>41771</v>
      </c>
      <c r="K232" t="s">
        <v>330</v>
      </c>
      <c r="L232" t="s">
        <v>331</v>
      </c>
      <c r="M232" t="s">
        <v>406</v>
      </c>
      <c r="N232" t="s">
        <v>407</v>
      </c>
      <c r="O232">
        <f ca="1">DATEDIF(HRDataset_clean[[#This Row],[DOB]], TODAY(), "Y")</f>
        <v>71</v>
      </c>
      <c r="P232">
        <f ca="1">DATEDIF(HRDataset_clean[[#This Row],[DateofHire]], IF(HRDataset_clean[[#This Row],[DateofTermination]]="", TODAY(),HRDataset_clean[[#This Row],[DateofTermination]]),"Y")</f>
        <v>11</v>
      </c>
    </row>
    <row r="233" spans="1:16" x14ac:dyDescent="0.35">
      <c r="A233" t="s">
        <v>636</v>
      </c>
      <c r="B233">
        <v>10058</v>
      </c>
      <c r="C233">
        <v>1</v>
      </c>
      <c r="D233" s="2">
        <v>45115</v>
      </c>
      <c r="E233" s="3" t="s">
        <v>327</v>
      </c>
      <c r="F233" s="1">
        <v>30154</v>
      </c>
      <c r="G233" t="s">
        <v>328</v>
      </c>
      <c r="H233" t="s">
        <v>329</v>
      </c>
      <c r="I233" s="1">
        <v>40679</v>
      </c>
      <c r="J233" s="1">
        <v>42384</v>
      </c>
      <c r="K233" t="s">
        <v>397</v>
      </c>
      <c r="L233" t="s">
        <v>337</v>
      </c>
      <c r="M233" t="s">
        <v>332</v>
      </c>
      <c r="N233" t="s">
        <v>346</v>
      </c>
      <c r="O233">
        <f ca="1">DATEDIF(HRDataset_clean[[#This Row],[DOB]], TODAY(), "Y")</f>
        <v>43</v>
      </c>
      <c r="P233">
        <f ca="1">DATEDIF(HRDataset_clean[[#This Row],[DateofHire]], IF(HRDataset_clean[[#This Row],[DateofTermination]]="", TODAY(),HRDataset_clean[[#This Row],[DateofTermination]]),"Y")</f>
        <v>4</v>
      </c>
    </row>
    <row r="234" spans="1:16" x14ac:dyDescent="0.35">
      <c r="A234" t="s">
        <v>637</v>
      </c>
      <c r="B234">
        <v>10011</v>
      </c>
      <c r="C234">
        <v>0</v>
      </c>
      <c r="D234" s="2">
        <v>46738</v>
      </c>
      <c r="E234" s="3" t="s">
        <v>327</v>
      </c>
      <c r="F234" s="1">
        <v>26676</v>
      </c>
      <c r="G234" t="s">
        <v>342</v>
      </c>
      <c r="H234" t="s">
        <v>329</v>
      </c>
      <c r="I234" s="1">
        <v>40875</v>
      </c>
      <c r="K234" t="s">
        <v>330</v>
      </c>
      <c r="L234" t="s">
        <v>331</v>
      </c>
      <c r="M234" t="s">
        <v>332</v>
      </c>
      <c r="N234" t="s">
        <v>349</v>
      </c>
      <c r="O234">
        <f ca="1">DATEDIF(HRDataset_clean[[#This Row],[DOB]], TODAY(), "Y")</f>
        <v>52</v>
      </c>
      <c r="P234">
        <f ca="1">DATEDIF(HRDataset_clean[[#This Row],[DateofHire]], IF(HRDataset_clean[[#This Row],[DateofTermination]]="", TODAY(),HRDataset_clean[[#This Row],[DateofTermination]]),"Y")</f>
        <v>14</v>
      </c>
    </row>
    <row r="235" spans="1:16" x14ac:dyDescent="0.35">
      <c r="A235" t="s">
        <v>638</v>
      </c>
      <c r="B235">
        <v>10230</v>
      </c>
      <c r="C235">
        <v>0</v>
      </c>
      <c r="D235" s="2">
        <v>64971</v>
      </c>
      <c r="E235" s="3" t="s">
        <v>341</v>
      </c>
      <c r="F235" s="1">
        <v>29834</v>
      </c>
      <c r="G235" t="s">
        <v>342</v>
      </c>
      <c r="H235" t="s">
        <v>378</v>
      </c>
      <c r="I235" s="1">
        <v>40812</v>
      </c>
      <c r="J235" s="1">
        <v>40838</v>
      </c>
      <c r="K235" t="s">
        <v>348</v>
      </c>
      <c r="L235" t="s">
        <v>337</v>
      </c>
      <c r="M235" t="s">
        <v>332</v>
      </c>
      <c r="N235" t="s">
        <v>365</v>
      </c>
      <c r="O235">
        <f ca="1">DATEDIF(HRDataset_clean[[#This Row],[DOB]], TODAY(), "Y")</f>
        <v>44</v>
      </c>
      <c r="P235">
        <f ca="1">DATEDIF(HRDataset_clean[[#This Row],[DateofHire]], IF(HRDataset_clean[[#This Row],[DateofTermination]]="", TODAY(),HRDataset_clean[[#This Row],[DateofTermination]]),"Y")</f>
        <v>0</v>
      </c>
    </row>
    <row r="236" spans="1:16" x14ac:dyDescent="0.35">
      <c r="A236" t="s">
        <v>639</v>
      </c>
      <c r="B236">
        <v>10224</v>
      </c>
      <c r="C236">
        <v>1</v>
      </c>
      <c r="D236" s="2">
        <v>55578</v>
      </c>
      <c r="E236" s="3" t="s">
        <v>341</v>
      </c>
      <c r="F236" s="1">
        <v>26483</v>
      </c>
      <c r="G236" t="s">
        <v>328</v>
      </c>
      <c r="H236" t="s">
        <v>329</v>
      </c>
      <c r="I236" s="1">
        <v>40729</v>
      </c>
      <c r="J236" s="1">
        <v>40947</v>
      </c>
      <c r="K236" t="s">
        <v>364</v>
      </c>
      <c r="L236" t="s">
        <v>337</v>
      </c>
      <c r="M236" t="s">
        <v>332</v>
      </c>
      <c r="N236" t="s">
        <v>344</v>
      </c>
      <c r="O236">
        <f ca="1">DATEDIF(HRDataset_clean[[#This Row],[DOB]], TODAY(), "Y")</f>
        <v>53</v>
      </c>
      <c r="P236">
        <f ca="1">DATEDIF(HRDataset_clean[[#This Row],[DateofHire]], IF(HRDataset_clean[[#This Row],[DateofTermination]]="", TODAY(),HRDataset_clean[[#This Row],[DateofTermination]]),"Y")</f>
        <v>0</v>
      </c>
    </row>
    <row r="237" spans="1:16" x14ac:dyDescent="0.35">
      <c r="A237" t="s">
        <v>640</v>
      </c>
      <c r="B237">
        <v>10047</v>
      </c>
      <c r="C237">
        <v>1</v>
      </c>
      <c r="D237" s="2">
        <v>50428</v>
      </c>
      <c r="E237" s="3" t="s">
        <v>327</v>
      </c>
      <c r="F237" s="1">
        <v>27036</v>
      </c>
      <c r="G237" t="s">
        <v>328</v>
      </c>
      <c r="H237" t="s">
        <v>329</v>
      </c>
      <c r="I237" s="1">
        <v>40553</v>
      </c>
      <c r="J237" s="1">
        <v>42395</v>
      </c>
      <c r="K237" t="s">
        <v>374</v>
      </c>
      <c r="L237" t="s">
        <v>337</v>
      </c>
      <c r="M237" t="s">
        <v>332</v>
      </c>
      <c r="N237" t="s">
        <v>351</v>
      </c>
      <c r="O237">
        <f ca="1">DATEDIF(HRDataset_clean[[#This Row],[DOB]], TODAY(), "Y")</f>
        <v>51</v>
      </c>
      <c r="P237">
        <f ca="1">DATEDIF(HRDataset_clean[[#This Row],[DateofHire]], IF(HRDataset_clean[[#This Row],[DateofTermination]]="", TODAY(),HRDataset_clean[[#This Row],[DateofTermination]]),"Y")</f>
        <v>5</v>
      </c>
    </row>
    <row r="238" spans="1:16" x14ac:dyDescent="0.35">
      <c r="A238" t="s">
        <v>641</v>
      </c>
      <c r="B238">
        <v>10285</v>
      </c>
      <c r="C238">
        <v>0</v>
      </c>
      <c r="D238" s="2">
        <v>61422</v>
      </c>
      <c r="E238" s="3" t="s">
        <v>327</v>
      </c>
      <c r="F238" s="1">
        <v>31054</v>
      </c>
      <c r="G238" t="s">
        <v>342</v>
      </c>
      <c r="H238" t="s">
        <v>329</v>
      </c>
      <c r="I238" s="1">
        <v>40553</v>
      </c>
      <c r="J238" s="1">
        <v>42507</v>
      </c>
      <c r="K238" t="s">
        <v>374</v>
      </c>
      <c r="L238" t="s">
        <v>375</v>
      </c>
      <c r="M238" t="s">
        <v>332</v>
      </c>
      <c r="N238" t="s">
        <v>357</v>
      </c>
      <c r="O238">
        <f ca="1">DATEDIF(HRDataset_clean[[#This Row],[DOB]], TODAY(), "Y")</f>
        <v>40</v>
      </c>
      <c r="P238">
        <f ca="1">DATEDIF(HRDataset_clean[[#This Row],[DateofHire]], IF(HRDataset_clean[[#This Row],[DateofTermination]]="", TODAY(),HRDataset_clean[[#This Row],[DateofTermination]]),"Y")</f>
        <v>5</v>
      </c>
    </row>
    <row r="239" spans="1:16" x14ac:dyDescent="0.35">
      <c r="A239" t="s">
        <v>642</v>
      </c>
      <c r="B239">
        <v>10020</v>
      </c>
      <c r="C239">
        <v>1</v>
      </c>
      <c r="D239" s="2">
        <v>63353</v>
      </c>
      <c r="E239" s="3" t="s">
        <v>327</v>
      </c>
      <c r="F239" s="1">
        <v>31075</v>
      </c>
      <c r="G239" t="s">
        <v>328</v>
      </c>
      <c r="H239" t="s">
        <v>329</v>
      </c>
      <c r="I239" s="1">
        <v>41463</v>
      </c>
      <c r="K239" t="s">
        <v>330</v>
      </c>
      <c r="L239" t="s">
        <v>331</v>
      </c>
      <c r="M239" t="s">
        <v>332</v>
      </c>
      <c r="N239" t="s">
        <v>359</v>
      </c>
      <c r="O239">
        <f ca="1">DATEDIF(HRDataset_clean[[#This Row],[DOB]], TODAY(), "Y")</f>
        <v>40</v>
      </c>
      <c r="P239">
        <f ca="1">DATEDIF(HRDataset_clean[[#This Row],[DateofHire]], IF(HRDataset_clean[[#This Row],[DateofTermination]]="", TODAY(),HRDataset_clean[[#This Row],[DateofTermination]]),"Y")</f>
        <v>12</v>
      </c>
    </row>
    <row r="240" spans="1:16" x14ac:dyDescent="0.35">
      <c r="A240" t="s">
        <v>643</v>
      </c>
      <c r="B240">
        <v>10162</v>
      </c>
      <c r="C240">
        <v>0</v>
      </c>
      <c r="D240" s="2">
        <v>89883</v>
      </c>
      <c r="E240" s="3" t="s">
        <v>369</v>
      </c>
      <c r="F240" s="1">
        <v>29870</v>
      </c>
      <c r="G240" t="s">
        <v>342</v>
      </c>
      <c r="H240" t="s">
        <v>329</v>
      </c>
      <c r="I240" s="1">
        <v>42051</v>
      </c>
      <c r="K240" t="s">
        <v>330</v>
      </c>
      <c r="L240" t="s">
        <v>331</v>
      </c>
      <c r="M240" t="s">
        <v>338</v>
      </c>
      <c r="N240" t="s">
        <v>339</v>
      </c>
      <c r="O240">
        <f ca="1">DATEDIF(HRDataset_clean[[#This Row],[DOB]], TODAY(), "Y")</f>
        <v>44</v>
      </c>
      <c r="P240">
        <f ca="1">DATEDIF(HRDataset_clean[[#This Row],[DateofHire]], IF(HRDataset_clean[[#This Row],[DateofTermination]]="", TODAY(),HRDataset_clean[[#This Row],[DateofTermination]]),"Y")</f>
        <v>10</v>
      </c>
    </row>
    <row r="241" spans="1:16" x14ac:dyDescent="0.35">
      <c r="A241" t="s">
        <v>644</v>
      </c>
      <c r="B241">
        <v>10149</v>
      </c>
      <c r="C241">
        <v>0</v>
      </c>
      <c r="D241" s="2">
        <v>120000</v>
      </c>
      <c r="E241" s="3" t="s">
        <v>645</v>
      </c>
      <c r="F241" s="1">
        <v>26811</v>
      </c>
      <c r="G241" t="s">
        <v>342</v>
      </c>
      <c r="H241" t="s">
        <v>329</v>
      </c>
      <c r="I241" s="1">
        <v>42009</v>
      </c>
      <c r="J241" s="1">
        <v>43414</v>
      </c>
      <c r="K241" t="s">
        <v>364</v>
      </c>
      <c r="L241" t="s">
        <v>337</v>
      </c>
      <c r="M241" t="s">
        <v>338</v>
      </c>
      <c r="N241" t="s">
        <v>339</v>
      </c>
      <c r="O241">
        <f ca="1">DATEDIF(HRDataset_clean[[#This Row],[DOB]], TODAY(), "Y")</f>
        <v>52</v>
      </c>
      <c r="P241">
        <f ca="1">DATEDIF(HRDataset_clean[[#This Row],[DateofHire]], IF(HRDataset_clean[[#This Row],[DateofTermination]]="", TODAY(),HRDataset_clean[[#This Row],[DateofTermination]]),"Y")</f>
        <v>3</v>
      </c>
    </row>
    <row r="242" spans="1:16" x14ac:dyDescent="0.35">
      <c r="A242" t="s">
        <v>646</v>
      </c>
      <c r="B242">
        <v>10086</v>
      </c>
      <c r="C242">
        <v>0</v>
      </c>
      <c r="D242" s="2">
        <v>150290</v>
      </c>
      <c r="E242" s="3" t="s">
        <v>647</v>
      </c>
      <c r="F242" s="1">
        <v>26624</v>
      </c>
      <c r="G242" t="s">
        <v>342</v>
      </c>
      <c r="H242" t="s">
        <v>329</v>
      </c>
      <c r="I242" s="1">
        <v>42742</v>
      </c>
      <c r="K242" t="s">
        <v>330</v>
      </c>
      <c r="L242" t="s">
        <v>331</v>
      </c>
      <c r="M242" t="s">
        <v>338</v>
      </c>
      <c r="N242" t="s">
        <v>459</v>
      </c>
      <c r="O242">
        <f ca="1">DATEDIF(HRDataset_clean[[#This Row],[DOB]], TODAY(), "Y")</f>
        <v>53</v>
      </c>
      <c r="P242">
        <f ca="1">DATEDIF(HRDataset_clean[[#This Row],[DateofHire]], IF(HRDataset_clean[[#This Row],[DateofTermination]]="", TODAY(),HRDataset_clean[[#This Row],[DateofTermination]]),"Y")</f>
        <v>8</v>
      </c>
    </row>
    <row r="243" spans="1:16" x14ac:dyDescent="0.35">
      <c r="A243" t="s">
        <v>648</v>
      </c>
      <c r="B243">
        <v>10054</v>
      </c>
      <c r="C243">
        <v>0</v>
      </c>
      <c r="D243" s="2">
        <v>60627</v>
      </c>
      <c r="E243" s="3" t="s">
        <v>327</v>
      </c>
      <c r="F243" s="1">
        <v>27368</v>
      </c>
      <c r="G243" t="s">
        <v>342</v>
      </c>
      <c r="H243" t="s">
        <v>329</v>
      </c>
      <c r="I243" s="1">
        <v>41645</v>
      </c>
      <c r="K243" t="s">
        <v>330</v>
      </c>
      <c r="L243" t="s">
        <v>331</v>
      </c>
      <c r="M243" t="s">
        <v>332</v>
      </c>
      <c r="N243" t="s">
        <v>365</v>
      </c>
      <c r="O243">
        <f ca="1">DATEDIF(HRDataset_clean[[#This Row],[DOB]], TODAY(), "Y")</f>
        <v>51</v>
      </c>
      <c r="P243">
        <f ca="1">DATEDIF(HRDataset_clean[[#This Row],[DateofHire]], IF(HRDataset_clean[[#This Row],[DateofTermination]]="", TODAY(),HRDataset_clean[[#This Row],[DateofTermination]]),"Y")</f>
        <v>11</v>
      </c>
    </row>
    <row r="244" spans="1:16" x14ac:dyDescent="0.35">
      <c r="A244" t="s">
        <v>649</v>
      </c>
      <c r="B244">
        <v>10065</v>
      </c>
      <c r="C244">
        <v>1</v>
      </c>
      <c r="D244" s="2">
        <v>53180</v>
      </c>
      <c r="E244" s="3" t="s">
        <v>327</v>
      </c>
      <c r="F244" s="1">
        <v>31854</v>
      </c>
      <c r="G244" t="s">
        <v>328</v>
      </c>
      <c r="H244" t="s">
        <v>329</v>
      </c>
      <c r="I244" s="1">
        <v>40637</v>
      </c>
      <c r="J244" s="1">
        <v>43325</v>
      </c>
      <c r="K244" t="s">
        <v>364</v>
      </c>
      <c r="L244" t="s">
        <v>337</v>
      </c>
      <c r="M244" t="s">
        <v>332</v>
      </c>
      <c r="N244" t="s">
        <v>344</v>
      </c>
      <c r="O244">
        <f ca="1">DATEDIF(HRDataset_clean[[#This Row],[DOB]], TODAY(), "Y")</f>
        <v>38</v>
      </c>
      <c r="P244">
        <f ca="1">DATEDIF(HRDataset_clean[[#This Row],[DateofHire]], IF(HRDataset_clean[[#This Row],[DateofTermination]]="", TODAY(),HRDataset_clean[[#This Row],[DateofTermination]]),"Y")</f>
        <v>7</v>
      </c>
    </row>
    <row r="245" spans="1:16" x14ac:dyDescent="0.35">
      <c r="A245" t="s">
        <v>650</v>
      </c>
      <c r="B245">
        <v>10198</v>
      </c>
      <c r="C245">
        <v>1</v>
      </c>
      <c r="D245" s="2">
        <v>140920</v>
      </c>
      <c r="E245" s="3" t="s">
        <v>651</v>
      </c>
      <c r="F245" s="1">
        <v>26759</v>
      </c>
      <c r="G245" t="s">
        <v>328</v>
      </c>
      <c r="H245" t="s">
        <v>329</v>
      </c>
      <c r="I245" s="1">
        <v>41294</v>
      </c>
      <c r="K245" t="s">
        <v>330</v>
      </c>
      <c r="L245" t="s">
        <v>331</v>
      </c>
      <c r="M245" t="s">
        <v>338</v>
      </c>
      <c r="N245" t="s">
        <v>412</v>
      </c>
      <c r="O245">
        <f ca="1">DATEDIF(HRDataset_clean[[#This Row],[DOB]], TODAY(), "Y")</f>
        <v>52</v>
      </c>
      <c r="P245">
        <f ca="1">DATEDIF(HRDataset_clean[[#This Row],[DateofHire]], IF(HRDataset_clean[[#This Row],[DateofTermination]]="", TODAY(),HRDataset_clean[[#This Row],[DateofTermination]]),"Y")</f>
        <v>12</v>
      </c>
    </row>
    <row r="246" spans="1:16" x14ac:dyDescent="0.35">
      <c r="A246" t="s">
        <v>652</v>
      </c>
      <c r="B246">
        <v>10222</v>
      </c>
      <c r="C246">
        <v>1</v>
      </c>
      <c r="D246" s="2">
        <v>148999</v>
      </c>
      <c r="E246" s="3" t="s">
        <v>651</v>
      </c>
      <c r="F246" s="1">
        <v>23380</v>
      </c>
      <c r="G246" t="s">
        <v>328</v>
      </c>
      <c r="H246" t="s">
        <v>329</v>
      </c>
      <c r="I246" s="1">
        <v>40917</v>
      </c>
      <c r="J246" s="1">
        <v>42312</v>
      </c>
      <c r="K246" t="s">
        <v>343</v>
      </c>
      <c r="L246" t="s">
        <v>337</v>
      </c>
      <c r="M246" t="s">
        <v>338</v>
      </c>
      <c r="N246" t="s">
        <v>412</v>
      </c>
      <c r="O246">
        <f ca="1">DATEDIF(HRDataset_clean[[#This Row],[DOB]], TODAY(), "Y")</f>
        <v>61</v>
      </c>
      <c r="P246">
        <f ca="1">DATEDIF(HRDataset_clean[[#This Row],[DateofHire]], IF(HRDataset_clean[[#This Row],[DateofTermination]]="", TODAY(),HRDataset_clean[[#This Row],[DateofTermination]]),"Y")</f>
        <v>3</v>
      </c>
    </row>
    <row r="247" spans="1:16" x14ac:dyDescent="0.35">
      <c r="A247" t="s">
        <v>653</v>
      </c>
      <c r="B247">
        <v>10126</v>
      </c>
      <c r="C247">
        <v>0</v>
      </c>
      <c r="D247" s="2">
        <v>86214</v>
      </c>
      <c r="E247" s="3" t="s">
        <v>353</v>
      </c>
      <c r="F247" s="1">
        <v>31617</v>
      </c>
      <c r="G247" t="s">
        <v>342</v>
      </c>
      <c r="H247" t="s">
        <v>329</v>
      </c>
      <c r="I247" s="1">
        <v>41218</v>
      </c>
      <c r="K247" t="s">
        <v>330</v>
      </c>
      <c r="L247" t="s">
        <v>331</v>
      </c>
      <c r="M247" t="s">
        <v>354</v>
      </c>
      <c r="N247" t="s">
        <v>355</v>
      </c>
      <c r="O247">
        <f ca="1">DATEDIF(HRDataset_clean[[#This Row],[DOB]], TODAY(), "Y")</f>
        <v>39</v>
      </c>
      <c r="P247">
        <f ca="1">DATEDIF(HRDataset_clean[[#This Row],[DateofHire]], IF(HRDataset_clean[[#This Row],[DateofTermination]]="", TODAY(),HRDataset_clean[[#This Row],[DateofTermination]]),"Y")</f>
        <v>13</v>
      </c>
    </row>
    <row r="248" spans="1:16" x14ac:dyDescent="0.35">
      <c r="A248" t="s">
        <v>654</v>
      </c>
      <c r="B248">
        <v>10295</v>
      </c>
      <c r="C248">
        <v>0</v>
      </c>
      <c r="D248" s="2">
        <v>47750</v>
      </c>
      <c r="E248" s="3" t="s">
        <v>327</v>
      </c>
      <c r="F248" s="1">
        <v>24995</v>
      </c>
      <c r="G248" t="s">
        <v>342</v>
      </c>
      <c r="H248" t="s">
        <v>329</v>
      </c>
      <c r="I248" s="1">
        <v>42555</v>
      </c>
      <c r="K248" t="s">
        <v>330</v>
      </c>
      <c r="L248" t="s">
        <v>331</v>
      </c>
      <c r="M248" t="s">
        <v>332</v>
      </c>
      <c r="N248" t="s">
        <v>371</v>
      </c>
      <c r="O248">
        <f ca="1">DATEDIF(HRDataset_clean[[#This Row],[DOB]], TODAY(), "Y")</f>
        <v>57</v>
      </c>
      <c r="P248">
        <f ca="1">DATEDIF(HRDataset_clean[[#This Row],[DateofHire]], IF(HRDataset_clean[[#This Row],[DateofTermination]]="", TODAY(),HRDataset_clean[[#This Row],[DateofTermination]]),"Y")</f>
        <v>9</v>
      </c>
    </row>
    <row r="249" spans="1:16" x14ac:dyDescent="0.35">
      <c r="A249" t="s">
        <v>655</v>
      </c>
      <c r="B249">
        <v>10260</v>
      </c>
      <c r="C249">
        <v>1</v>
      </c>
      <c r="D249" s="2">
        <v>46428</v>
      </c>
      <c r="E249" s="3" t="s">
        <v>327</v>
      </c>
      <c r="F249" s="1">
        <v>27384</v>
      </c>
      <c r="G249" t="s">
        <v>328</v>
      </c>
      <c r="H249" t="s">
        <v>329</v>
      </c>
      <c r="I249" s="1">
        <v>39818</v>
      </c>
      <c r="J249" s="1">
        <v>43311</v>
      </c>
      <c r="K249" t="s">
        <v>426</v>
      </c>
      <c r="L249" t="s">
        <v>337</v>
      </c>
      <c r="M249" t="s">
        <v>332</v>
      </c>
      <c r="N249" t="s">
        <v>333</v>
      </c>
      <c r="O249">
        <f ca="1">DATEDIF(HRDataset_clean[[#This Row],[DOB]], TODAY(), "Y")</f>
        <v>50</v>
      </c>
      <c r="P249">
        <f ca="1">DATEDIF(HRDataset_clean[[#This Row],[DateofHire]], IF(HRDataset_clean[[#This Row],[DateofTermination]]="", TODAY(),HRDataset_clean[[#This Row],[DateofTermination]]),"Y")</f>
        <v>9</v>
      </c>
    </row>
    <row r="250" spans="1:16" x14ac:dyDescent="0.35">
      <c r="A250" t="s">
        <v>656</v>
      </c>
      <c r="B250">
        <v>10233</v>
      </c>
      <c r="C250">
        <v>1</v>
      </c>
      <c r="D250" s="2">
        <v>57975</v>
      </c>
      <c r="E250" s="3" t="s">
        <v>341</v>
      </c>
      <c r="F250" s="1">
        <v>31528</v>
      </c>
      <c r="G250" t="s">
        <v>328</v>
      </c>
      <c r="H250" t="s">
        <v>329</v>
      </c>
      <c r="I250" s="1">
        <v>40420</v>
      </c>
      <c r="K250" t="s">
        <v>330</v>
      </c>
      <c r="L250" t="s">
        <v>331</v>
      </c>
      <c r="M250" t="s">
        <v>332</v>
      </c>
      <c r="N250" t="s">
        <v>371</v>
      </c>
      <c r="O250">
        <f ca="1">DATEDIF(HRDataset_clean[[#This Row],[DOB]], TODAY(), "Y")</f>
        <v>39</v>
      </c>
      <c r="P250">
        <f ca="1">DATEDIF(HRDataset_clean[[#This Row],[DateofHire]], IF(HRDataset_clean[[#This Row],[DateofTermination]]="", TODAY(),HRDataset_clean[[#This Row],[DateofTermination]]),"Y")</f>
        <v>15</v>
      </c>
    </row>
    <row r="251" spans="1:16" x14ac:dyDescent="0.35">
      <c r="A251" t="s">
        <v>657</v>
      </c>
      <c r="B251">
        <v>10229</v>
      </c>
      <c r="C251">
        <v>1</v>
      </c>
      <c r="D251" s="2">
        <v>88527</v>
      </c>
      <c r="E251" s="3" t="s">
        <v>369</v>
      </c>
      <c r="F251" s="1">
        <v>32128</v>
      </c>
      <c r="G251" t="s">
        <v>328</v>
      </c>
      <c r="H251" t="s">
        <v>329</v>
      </c>
      <c r="I251" s="1">
        <v>42009</v>
      </c>
      <c r="J251" s="1">
        <v>42308</v>
      </c>
      <c r="K251" t="s">
        <v>343</v>
      </c>
      <c r="L251" t="s">
        <v>337</v>
      </c>
      <c r="M251" t="s">
        <v>338</v>
      </c>
      <c r="N251" t="s">
        <v>339</v>
      </c>
      <c r="O251">
        <f ca="1">DATEDIF(HRDataset_clean[[#This Row],[DOB]], TODAY(), "Y")</f>
        <v>38</v>
      </c>
      <c r="P251">
        <f ca="1">DATEDIF(HRDataset_clean[[#This Row],[DateofHire]], IF(HRDataset_clean[[#This Row],[DateofTermination]]="", TODAY(),HRDataset_clean[[#This Row],[DateofTermination]]),"Y")</f>
        <v>0</v>
      </c>
    </row>
    <row r="252" spans="1:16" x14ac:dyDescent="0.35">
      <c r="A252" t="s">
        <v>658</v>
      </c>
      <c r="B252">
        <v>10169</v>
      </c>
      <c r="C252">
        <v>0</v>
      </c>
      <c r="D252" s="2">
        <v>56147</v>
      </c>
      <c r="E252" s="3" t="s">
        <v>327</v>
      </c>
      <c r="F252" s="1">
        <v>32334</v>
      </c>
      <c r="G252" t="s">
        <v>342</v>
      </c>
      <c r="H252" t="s">
        <v>329</v>
      </c>
      <c r="I252" s="1">
        <v>41911</v>
      </c>
      <c r="K252" t="s">
        <v>330</v>
      </c>
      <c r="L252" t="s">
        <v>331</v>
      </c>
      <c r="M252" t="s">
        <v>332</v>
      </c>
      <c r="N252" t="s">
        <v>346</v>
      </c>
      <c r="O252">
        <f ca="1">DATEDIF(HRDataset_clean[[#This Row],[DOB]], TODAY(), "Y")</f>
        <v>37</v>
      </c>
      <c r="P252">
        <f ca="1">DATEDIF(HRDataset_clean[[#This Row],[DateofHire]], IF(HRDataset_clean[[#This Row],[DateofTermination]]="", TODAY(),HRDataset_clean[[#This Row],[DateofTermination]]),"Y")</f>
        <v>11</v>
      </c>
    </row>
    <row r="253" spans="1:16" x14ac:dyDescent="0.35">
      <c r="A253" t="s">
        <v>659</v>
      </c>
      <c r="B253">
        <v>10071</v>
      </c>
      <c r="C253">
        <v>0</v>
      </c>
      <c r="D253" s="2">
        <v>50923</v>
      </c>
      <c r="E253" s="3" t="s">
        <v>327</v>
      </c>
      <c r="F253" s="1">
        <v>27463</v>
      </c>
      <c r="G253" t="s">
        <v>342</v>
      </c>
      <c r="H253" t="s">
        <v>329</v>
      </c>
      <c r="I253" s="1">
        <v>41547</v>
      </c>
      <c r="K253" t="s">
        <v>330</v>
      </c>
      <c r="L253" t="s">
        <v>331</v>
      </c>
      <c r="M253" t="s">
        <v>332</v>
      </c>
      <c r="N253" t="s">
        <v>349</v>
      </c>
      <c r="O253">
        <f ca="1">DATEDIF(HRDataset_clean[[#This Row],[DOB]], TODAY(), "Y")</f>
        <v>50</v>
      </c>
      <c r="P253">
        <f ca="1">DATEDIF(HRDataset_clean[[#This Row],[DateofHire]], IF(HRDataset_clean[[#This Row],[DateofTermination]]="", TODAY(),HRDataset_clean[[#This Row],[DateofTermination]]),"Y")</f>
        <v>12</v>
      </c>
    </row>
    <row r="254" spans="1:16" x14ac:dyDescent="0.35">
      <c r="A254" t="s">
        <v>660</v>
      </c>
      <c r="B254">
        <v>10179</v>
      </c>
      <c r="C254">
        <v>0</v>
      </c>
      <c r="D254" s="2">
        <v>50750</v>
      </c>
      <c r="E254" s="3" t="s">
        <v>484</v>
      </c>
      <c r="F254" s="1">
        <v>29690</v>
      </c>
      <c r="G254" t="s">
        <v>342</v>
      </c>
      <c r="H254" t="s">
        <v>329</v>
      </c>
      <c r="I254" s="1">
        <v>41912</v>
      </c>
      <c r="K254" t="s">
        <v>330</v>
      </c>
      <c r="L254" t="s">
        <v>331</v>
      </c>
      <c r="M254" t="s">
        <v>338</v>
      </c>
      <c r="N254" t="s">
        <v>362</v>
      </c>
      <c r="O254">
        <f ca="1">DATEDIF(HRDataset_clean[[#This Row],[DOB]], TODAY(), "Y")</f>
        <v>44</v>
      </c>
      <c r="P254">
        <f ca="1">DATEDIF(HRDataset_clean[[#This Row],[DateofHire]], IF(HRDataset_clean[[#This Row],[DateofTermination]]="", TODAY(),HRDataset_clean[[#This Row],[DateofTermination]]),"Y")</f>
        <v>11</v>
      </c>
    </row>
    <row r="255" spans="1:16" x14ac:dyDescent="0.35">
      <c r="A255" t="s">
        <v>661</v>
      </c>
      <c r="B255">
        <v>10091</v>
      </c>
      <c r="C255">
        <v>0</v>
      </c>
      <c r="D255" s="2">
        <v>52087</v>
      </c>
      <c r="E255" s="3" t="s">
        <v>327</v>
      </c>
      <c r="F255" s="1">
        <v>31283</v>
      </c>
      <c r="G255" t="s">
        <v>342</v>
      </c>
      <c r="H255" t="s">
        <v>329</v>
      </c>
      <c r="I255" s="1">
        <v>41505</v>
      </c>
      <c r="K255" t="s">
        <v>330</v>
      </c>
      <c r="L255" t="s">
        <v>331</v>
      </c>
      <c r="M255" t="s">
        <v>332</v>
      </c>
      <c r="N255" t="s">
        <v>351</v>
      </c>
      <c r="O255">
        <f ca="1">DATEDIF(HRDataset_clean[[#This Row],[DOB]], TODAY(), "Y")</f>
        <v>40</v>
      </c>
      <c r="P255">
        <f ca="1">DATEDIF(HRDataset_clean[[#This Row],[DateofHire]], IF(HRDataset_clean[[#This Row],[DateofTermination]]="", TODAY(),HRDataset_clean[[#This Row],[DateofTermination]]),"Y")</f>
        <v>12</v>
      </c>
    </row>
    <row r="256" spans="1:16" x14ac:dyDescent="0.35">
      <c r="A256" t="s">
        <v>662</v>
      </c>
      <c r="B256">
        <v>10178</v>
      </c>
      <c r="C256">
        <v>1</v>
      </c>
      <c r="D256" s="2">
        <v>87826</v>
      </c>
      <c r="E256" s="3" t="s">
        <v>369</v>
      </c>
      <c r="F256" s="1">
        <v>25607</v>
      </c>
      <c r="G256" t="s">
        <v>328</v>
      </c>
      <c r="H256" t="s">
        <v>329</v>
      </c>
      <c r="I256" s="1">
        <v>42009</v>
      </c>
      <c r="K256" t="s">
        <v>330</v>
      </c>
      <c r="L256" t="s">
        <v>331</v>
      </c>
      <c r="M256" t="s">
        <v>338</v>
      </c>
      <c r="N256" t="s">
        <v>339</v>
      </c>
      <c r="O256">
        <f ca="1">DATEDIF(HRDataset_clean[[#This Row],[DOB]], TODAY(), "Y")</f>
        <v>55</v>
      </c>
      <c r="P256">
        <f ca="1">DATEDIF(HRDataset_clean[[#This Row],[DateofHire]], IF(HRDataset_clean[[#This Row],[DateofTermination]]="", TODAY(),HRDataset_clean[[#This Row],[DateofTermination]]),"Y")</f>
        <v>10</v>
      </c>
    </row>
    <row r="257" spans="1:16" x14ac:dyDescent="0.35">
      <c r="A257" t="s">
        <v>663</v>
      </c>
      <c r="B257">
        <v>10039</v>
      </c>
      <c r="C257">
        <v>0</v>
      </c>
      <c r="D257" s="2">
        <v>51920</v>
      </c>
      <c r="E257" s="3" t="s">
        <v>530</v>
      </c>
      <c r="F257" s="1">
        <v>32282</v>
      </c>
      <c r="G257" t="s">
        <v>342</v>
      </c>
      <c r="H257" t="s">
        <v>329</v>
      </c>
      <c r="I257" s="1">
        <v>42125</v>
      </c>
      <c r="K257" t="s">
        <v>330</v>
      </c>
      <c r="L257" t="s">
        <v>331</v>
      </c>
      <c r="M257" t="s">
        <v>393</v>
      </c>
      <c r="N257" t="s">
        <v>394</v>
      </c>
      <c r="O257">
        <f ca="1">DATEDIF(HRDataset_clean[[#This Row],[DOB]], TODAY(), "Y")</f>
        <v>37</v>
      </c>
      <c r="P257">
        <f ca="1">DATEDIF(HRDataset_clean[[#This Row],[DateofHire]], IF(HRDataset_clean[[#This Row],[DateofTermination]]="", TODAY(),HRDataset_clean[[#This Row],[DateofTermination]]),"Y")</f>
        <v>10</v>
      </c>
    </row>
    <row r="258" spans="1:16" x14ac:dyDescent="0.35">
      <c r="A258" t="s">
        <v>664</v>
      </c>
      <c r="B258">
        <v>10095</v>
      </c>
      <c r="C258">
        <v>0</v>
      </c>
      <c r="D258" s="2">
        <v>63878</v>
      </c>
      <c r="E258" s="3" t="s">
        <v>341</v>
      </c>
      <c r="F258" s="1">
        <v>32106</v>
      </c>
      <c r="G258" t="s">
        <v>342</v>
      </c>
      <c r="H258" t="s">
        <v>329</v>
      </c>
      <c r="I258" s="1">
        <v>40112</v>
      </c>
      <c r="J258" s="1">
        <v>42102</v>
      </c>
      <c r="K258" t="s">
        <v>546</v>
      </c>
      <c r="L258" t="s">
        <v>337</v>
      </c>
      <c r="M258" t="s">
        <v>332</v>
      </c>
      <c r="N258" t="s">
        <v>333</v>
      </c>
      <c r="O258">
        <f ca="1">DATEDIF(HRDataset_clean[[#This Row],[DOB]], TODAY(), "Y")</f>
        <v>38</v>
      </c>
      <c r="P258">
        <f ca="1">DATEDIF(HRDataset_clean[[#This Row],[DateofHire]], IF(HRDataset_clean[[#This Row],[DateofTermination]]="", TODAY(),HRDataset_clean[[#This Row],[DateofTermination]]),"Y")</f>
        <v>5</v>
      </c>
    </row>
    <row r="259" spans="1:16" x14ac:dyDescent="0.35">
      <c r="A259" t="s">
        <v>665</v>
      </c>
      <c r="B259">
        <v>10027</v>
      </c>
      <c r="C259">
        <v>1</v>
      </c>
      <c r="D259" s="2">
        <v>60656</v>
      </c>
      <c r="E259" s="3" t="s">
        <v>341</v>
      </c>
      <c r="F259" s="1">
        <v>23314</v>
      </c>
      <c r="G259" t="s">
        <v>328</v>
      </c>
      <c r="H259" t="s">
        <v>329</v>
      </c>
      <c r="I259" s="1">
        <v>41911</v>
      </c>
      <c r="K259" t="s">
        <v>330</v>
      </c>
      <c r="L259" t="s">
        <v>331</v>
      </c>
      <c r="M259" t="s">
        <v>332</v>
      </c>
      <c r="N259" t="s">
        <v>346</v>
      </c>
      <c r="O259">
        <f ca="1">DATEDIF(HRDataset_clean[[#This Row],[DOB]], TODAY(), "Y")</f>
        <v>62</v>
      </c>
      <c r="P259">
        <f ca="1">DATEDIF(HRDataset_clean[[#This Row],[DateofHire]], IF(HRDataset_clean[[#This Row],[DateofTermination]]="", TODAY(),HRDataset_clean[[#This Row],[DateofTermination]]),"Y")</f>
        <v>11</v>
      </c>
    </row>
    <row r="260" spans="1:16" x14ac:dyDescent="0.35">
      <c r="A260" t="s">
        <v>666</v>
      </c>
      <c r="B260">
        <v>10291</v>
      </c>
      <c r="C260">
        <v>1</v>
      </c>
      <c r="D260" s="2">
        <v>72992</v>
      </c>
      <c r="E260" s="3" t="s">
        <v>445</v>
      </c>
      <c r="F260" s="1">
        <v>30910</v>
      </c>
      <c r="G260" t="s">
        <v>328</v>
      </c>
      <c r="H260" t="s">
        <v>329</v>
      </c>
      <c r="I260" s="1">
        <v>41777</v>
      </c>
      <c r="K260" t="s">
        <v>330</v>
      </c>
      <c r="L260" t="s">
        <v>331</v>
      </c>
      <c r="M260" t="s">
        <v>406</v>
      </c>
      <c r="N260" t="s">
        <v>446</v>
      </c>
      <c r="O260">
        <f ca="1">DATEDIF(HRDataset_clean[[#This Row],[DOB]], TODAY(), "Y")</f>
        <v>41</v>
      </c>
      <c r="P260">
        <f ca="1">DATEDIF(HRDataset_clean[[#This Row],[DateofHire]], IF(HRDataset_clean[[#This Row],[DateofTermination]]="", TODAY(),HRDataset_clean[[#This Row],[DateofTermination]]),"Y")</f>
        <v>11</v>
      </c>
    </row>
    <row r="261" spans="1:16" x14ac:dyDescent="0.35">
      <c r="A261" t="s">
        <v>667</v>
      </c>
      <c r="B261">
        <v>10153</v>
      </c>
      <c r="C261">
        <v>0</v>
      </c>
      <c r="D261" s="2">
        <v>55000</v>
      </c>
      <c r="E261" s="3" t="s">
        <v>530</v>
      </c>
      <c r="F261" s="1">
        <v>31942</v>
      </c>
      <c r="G261" t="s">
        <v>342</v>
      </c>
      <c r="H261" t="s">
        <v>329</v>
      </c>
      <c r="I261" s="1">
        <v>40812</v>
      </c>
      <c r="J261" s="1">
        <v>41542</v>
      </c>
      <c r="K261" t="s">
        <v>336</v>
      </c>
      <c r="L261" t="s">
        <v>337</v>
      </c>
      <c r="M261" t="s">
        <v>393</v>
      </c>
      <c r="N261" t="s">
        <v>394</v>
      </c>
      <c r="O261">
        <f ca="1">DATEDIF(HRDataset_clean[[#This Row],[DOB]], TODAY(), "Y")</f>
        <v>38</v>
      </c>
      <c r="P261">
        <f ca="1">DATEDIF(HRDataset_clean[[#This Row],[DateofHire]], IF(HRDataset_clean[[#This Row],[DateofTermination]]="", TODAY(),HRDataset_clean[[#This Row],[DateofTermination]]),"Y")</f>
        <v>1</v>
      </c>
    </row>
    <row r="262" spans="1:16" x14ac:dyDescent="0.35">
      <c r="A262" t="s">
        <v>668</v>
      </c>
      <c r="B262">
        <v>10157</v>
      </c>
      <c r="C262">
        <v>0</v>
      </c>
      <c r="D262" s="2">
        <v>58939</v>
      </c>
      <c r="E262" s="3" t="s">
        <v>327</v>
      </c>
      <c r="F262" s="1">
        <v>23775</v>
      </c>
      <c r="G262" t="s">
        <v>342</v>
      </c>
      <c r="H262" t="s">
        <v>329</v>
      </c>
      <c r="I262" s="1">
        <v>41589</v>
      </c>
      <c r="K262" t="s">
        <v>330</v>
      </c>
      <c r="L262" t="s">
        <v>331</v>
      </c>
      <c r="M262" t="s">
        <v>332</v>
      </c>
      <c r="N262" t="s">
        <v>357</v>
      </c>
      <c r="O262">
        <f ca="1">DATEDIF(HRDataset_clean[[#This Row],[DOB]], TODAY(), "Y")</f>
        <v>60</v>
      </c>
      <c r="P262">
        <f ca="1">DATEDIF(HRDataset_clean[[#This Row],[DateofHire]], IF(HRDataset_clean[[#This Row],[DateofTermination]]="", TODAY(),HRDataset_clean[[#This Row],[DateofTermination]]),"Y")</f>
        <v>12</v>
      </c>
    </row>
    <row r="263" spans="1:16" x14ac:dyDescent="0.35">
      <c r="A263" t="s">
        <v>669</v>
      </c>
      <c r="B263">
        <v>10119</v>
      </c>
      <c r="C263">
        <v>0</v>
      </c>
      <c r="D263" s="2">
        <v>66593</v>
      </c>
      <c r="E263" s="3" t="s">
        <v>361</v>
      </c>
      <c r="F263" s="1">
        <v>26735</v>
      </c>
      <c r="G263" t="s">
        <v>342</v>
      </c>
      <c r="H263" t="s">
        <v>329</v>
      </c>
      <c r="I263" s="1">
        <v>40704</v>
      </c>
      <c r="K263" t="s">
        <v>330</v>
      </c>
      <c r="L263" t="s">
        <v>331</v>
      </c>
      <c r="M263" t="s">
        <v>338</v>
      </c>
      <c r="N263" t="s">
        <v>430</v>
      </c>
      <c r="O263">
        <f ca="1">DATEDIF(HRDataset_clean[[#This Row],[DOB]], TODAY(), "Y")</f>
        <v>52</v>
      </c>
      <c r="P263">
        <f ca="1">DATEDIF(HRDataset_clean[[#This Row],[DateofHire]], IF(HRDataset_clean[[#This Row],[DateofTermination]]="", TODAY(),HRDataset_clean[[#This Row],[DateofTermination]]),"Y")</f>
        <v>14</v>
      </c>
    </row>
    <row r="264" spans="1:16" x14ac:dyDescent="0.35">
      <c r="A264" t="s">
        <v>670</v>
      </c>
      <c r="B264">
        <v>10180</v>
      </c>
      <c r="C264">
        <v>1</v>
      </c>
      <c r="D264" s="2">
        <v>87565</v>
      </c>
      <c r="E264" s="3" t="s">
        <v>443</v>
      </c>
      <c r="F264" s="1">
        <v>30356</v>
      </c>
      <c r="G264" t="s">
        <v>328</v>
      </c>
      <c r="H264" t="s">
        <v>329</v>
      </c>
      <c r="I264" s="1">
        <v>42551</v>
      </c>
      <c r="K264" t="s">
        <v>330</v>
      </c>
      <c r="L264" t="s">
        <v>331</v>
      </c>
      <c r="M264" t="s">
        <v>338</v>
      </c>
      <c r="N264" t="s">
        <v>362</v>
      </c>
      <c r="O264">
        <f ca="1">DATEDIF(HRDataset_clean[[#This Row],[DOB]], TODAY(), "Y")</f>
        <v>42</v>
      </c>
      <c r="P264">
        <f ca="1">DATEDIF(HRDataset_clean[[#This Row],[DateofHire]], IF(HRDataset_clean[[#This Row],[DateofTermination]]="", TODAY(),HRDataset_clean[[#This Row],[DateofTermination]]),"Y")</f>
        <v>9</v>
      </c>
    </row>
    <row r="265" spans="1:16" x14ac:dyDescent="0.35">
      <c r="A265" t="s">
        <v>671</v>
      </c>
      <c r="B265">
        <v>10302</v>
      </c>
      <c r="C265">
        <v>0</v>
      </c>
      <c r="D265" s="2">
        <v>64021</v>
      </c>
      <c r="E265" s="3" t="s">
        <v>327</v>
      </c>
      <c r="F265" s="1">
        <v>25039</v>
      </c>
      <c r="G265" t="s">
        <v>342</v>
      </c>
      <c r="H265" t="s">
        <v>329</v>
      </c>
      <c r="I265" s="1">
        <v>40959</v>
      </c>
      <c r="K265" t="s">
        <v>330</v>
      </c>
      <c r="L265" t="s">
        <v>331</v>
      </c>
      <c r="M265" t="s">
        <v>332</v>
      </c>
      <c r="N265" t="s">
        <v>359</v>
      </c>
      <c r="O265">
        <f ca="1">DATEDIF(HRDataset_clean[[#This Row],[DOB]], TODAY(), "Y")</f>
        <v>57</v>
      </c>
      <c r="P265">
        <f ca="1">DATEDIF(HRDataset_clean[[#This Row],[DateofHire]], IF(HRDataset_clean[[#This Row],[DateofTermination]]="", TODAY(),HRDataset_clean[[#This Row],[DateofTermination]]),"Y")</f>
        <v>13</v>
      </c>
    </row>
    <row r="266" spans="1:16" x14ac:dyDescent="0.35">
      <c r="A266" t="s">
        <v>672</v>
      </c>
      <c r="B266">
        <v>10090</v>
      </c>
      <c r="C266">
        <v>0</v>
      </c>
      <c r="D266" s="2">
        <v>65714</v>
      </c>
      <c r="E266" s="3" t="s">
        <v>396</v>
      </c>
      <c r="F266" s="1">
        <v>27667</v>
      </c>
      <c r="G266" t="s">
        <v>342</v>
      </c>
      <c r="H266" t="s">
        <v>329</v>
      </c>
      <c r="I266" s="1">
        <v>41184</v>
      </c>
      <c r="K266" t="s">
        <v>330</v>
      </c>
      <c r="L266" t="s">
        <v>331</v>
      </c>
      <c r="M266" t="s">
        <v>332</v>
      </c>
      <c r="N266" t="s">
        <v>398</v>
      </c>
      <c r="O266">
        <f ca="1">DATEDIF(HRDataset_clean[[#This Row],[DOB]], TODAY(), "Y")</f>
        <v>50</v>
      </c>
      <c r="P266">
        <f ca="1">DATEDIF(HRDataset_clean[[#This Row],[DateofHire]], IF(HRDataset_clean[[#This Row],[DateofTermination]]="", TODAY(),HRDataset_clean[[#This Row],[DateofTermination]]),"Y")</f>
        <v>13</v>
      </c>
    </row>
    <row r="267" spans="1:16" x14ac:dyDescent="0.35">
      <c r="A267" t="s">
        <v>673</v>
      </c>
      <c r="B267">
        <v>10030</v>
      </c>
      <c r="C267">
        <v>0</v>
      </c>
      <c r="D267" s="2">
        <v>62425</v>
      </c>
      <c r="E267" s="3" t="s">
        <v>327</v>
      </c>
      <c r="F267" s="1">
        <v>26749</v>
      </c>
      <c r="G267" t="s">
        <v>342</v>
      </c>
      <c r="H267" t="s">
        <v>329</v>
      </c>
      <c r="I267" s="1">
        <v>41407</v>
      </c>
      <c r="J267" s="1">
        <v>42184</v>
      </c>
      <c r="K267" t="s">
        <v>367</v>
      </c>
      <c r="L267" t="s">
        <v>337</v>
      </c>
      <c r="M267" t="s">
        <v>332</v>
      </c>
      <c r="N267" t="s">
        <v>365</v>
      </c>
      <c r="O267">
        <f ca="1">DATEDIF(HRDataset_clean[[#This Row],[DOB]], TODAY(), "Y")</f>
        <v>52</v>
      </c>
      <c r="P267">
        <f ca="1">DATEDIF(HRDataset_clean[[#This Row],[DateofHire]], IF(HRDataset_clean[[#This Row],[DateofTermination]]="", TODAY(),HRDataset_clean[[#This Row],[DateofTermination]]),"Y")</f>
        <v>2</v>
      </c>
    </row>
    <row r="268" spans="1:16" x14ac:dyDescent="0.35">
      <c r="A268" t="s">
        <v>674</v>
      </c>
      <c r="B268">
        <v>10278</v>
      </c>
      <c r="C268">
        <v>0</v>
      </c>
      <c r="D268" s="2">
        <v>47961</v>
      </c>
      <c r="E268" s="3" t="s">
        <v>327</v>
      </c>
      <c r="F268" s="1">
        <v>30188</v>
      </c>
      <c r="G268" t="s">
        <v>342</v>
      </c>
      <c r="H268" t="s">
        <v>329</v>
      </c>
      <c r="I268" s="1">
        <v>40553</v>
      </c>
      <c r="K268" t="s">
        <v>330</v>
      </c>
      <c r="L268" t="s">
        <v>331</v>
      </c>
      <c r="M268" t="s">
        <v>332</v>
      </c>
      <c r="N268" t="s">
        <v>344</v>
      </c>
      <c r="O268">
        <f ca="1">DATEDIF(HRDataset_clean[[#This Row],[DOB]], TODAY(), "Y")</f>
        <v>43</v>
      </c>
      <c r="P268">
        <f ca="1">DATEDIF(HRDataset_clean[[#This Row],[DateofHire]], IF(HRDataset_clean[[#This Row],[DateofTermination]]="", TODAY(),HRDataset_clean[[#This Row],[DateofTermination]]),"Y")</f>
        <v>14</v>
      </c>
    </row>
    <row r="269" spans="1:16" x14ac:dyDescent="0.35">
      <c r="A269" t="s">
        <v>675</v>
      </c>
      <c r="B269">
        <v>10307</v>
      </c>
      <c r="C269">
        <v>1</v>
      </c>
      <c r="D269" s="2">
        <v>58273</v>
      </c>
      <c r="E269" s="3" t="s">
        <v>405</v>
      </c>
      <c r="F269" s="1">
        <v>27158</v>
      </c>
      <c r="G269" t="s">
        <v>328</v>
      </c>
      <c r="H269" t="s">
        <v>329</v>
      </c>
      <c r="I269" s="1">
        <v>41771</v>
      </c>
      <c r="K269" t="s">
        <v>330</v>
      </c>
      <c r="L269" t="s">
        <v>331</v>
      </c>
      <c r="M269" t="s">
        <v>406</v>
      </c>
      <c r="N269" t="s">
        <v>424</v>
      </c>
      <c r="O269">
        <f ca="1">DATEDIF(HRDataset_clean[[#This Row],[DOB]], TODAY(), "Y")</f>
        <v>51</v>
      </c>
      <c r="P269">
        <f ca="1">DATEDIF(HRDataset_clean[[#This Row],[DateofHire]], IF(HRDataset_clean[[#This Row],[DateofTermination]]="", TODAY(),HRDataset_clean[[#This Row],[DateofTermination]]),"Y")</f>
        <v>11</v>
      </c>
    </row>
    <row r="270" spans="1:16" x14ac:dyDescent="0.35">
      <c r="A270" t="s">
        <v>676</v>
      </c>
      <c r="B270">
        <v>10147</v>
      </c>
      <c r="C270">
        <v>1</v>
      </c>
      <c r="D270" s="2">
        <v>63003</v>
      </c>
      <c r="E270" s="3" t="s">
        <v>401</v>
      </c>
      <c r="F270" s="1">
        <v>31656</v>
      </c>
      <c r="G270" t="s">
        <v>328</v>
      </c>
      <c r="H270" t="s">
        <v>329</v>
      </c>
      <c r="I270" s="1">
        <v>41911</v>
      </c>
      <c r="K270" t="s">
        <v>330</v>
      </c>
      <c r="L270" t="s">
        <v>331</v>
      </c>
      <c r="M270" t="s">
        <v>393</v>
      </c>
      <c r="N270" t="s">
        <v>394</v>
      </c>
      <c r="O270">
        <f ca="1">DATEDIF(HRDataset_clean[[#This Row],[DOB]], TODAY(), "Y")</f>
        <v>39</v>
      </c>
      <c r="P270">
        <f ca="1">DATEDIF(HRDataset_clean[[#This Row],[DateofHire]], IF(HRDataset_clean[[#This Row],[DateofTermination]]="", TODAY(),HRDataset_clean[[#This Row],[DateofTermination]]),"Y")</f>
        <v>11</v>
      </c>
    </row>
    <row r="271" spans="1:16" x14ac:dyDescent="0.35">
      <c r="A271" t="s">
        <v>677</v>
      </c>
      <c r="B271">
        <v>10266</v>
      </c>
      <c r="C271">
        <v>1</v>
      </c>
      <c r="D271" s="2">
        <v>61355</v>
      </c>
      <c r="E271" s="3" t="s">
        <v>327</v>
      </c>
      <c r="F271" s="1">
        <v>31120</v>
      </c>
      <c r="G271" t="s">
        <v>328</v>
      </c>
      <c r="H271" t="s">
        <v>329</v>
      </c>
      <c r="I271" s="1">
        <v>41687</v>
      </c>
      <c r="K271" t="s">
        <v>330</v>
      </c>
      <c r="L271" t="s">
        <v>331</v>
      </c>
      <c r="M271" t="s">
        <v>332</v>
      </c>
      <c r="N271" t="s">
        <v>371</v>
      </c>
      <c r="O271">
        <f ca="1">DATEDIF(HRDataset_clean[[#This Row],[DOB]], TODAY(), "Y")</f>
        <v>40</v>
      </c>
      <c r="P271">
        <f ca="1">DATEDIF(HRDataset_clean[[#This Row],[DateofHire]], IF(HRDataset_clean[[#This Row],[DateofTermination]]="", TODAY(),HRDataset_clean[[#This Row],[DateofTermination]]),"Y")</f>
        <v>11</v>
      </c>
    </row>
    <row r="272" spans="1:16" x14ac:dyDescent="0.35">
      <c r="A272" t="s">
        <v>678</v>
      </c>
      <c r="B272">
        <v>10241</v>
      </c>
      <c r="C272">
        <v>0</v>
      </c>
      <c r="D272" s="2">
        <v>60120</v>
      </c>
      <c r="E272" s="3" t="s">
        <v>405</v>
      </c>
      <c r="F272" s="1">
        <v>32640</v>
      </c>
      <c r="G272" t="s">
        <v>342</v>
      </c>
      <c r="H272" t="s">
        <v>329</v>
      </c>
      <c r="I272" s="1">
        <v>40448</v>
      </c>
      <c r="K272" t="s">
        <v>330</v>
      </c>
      <c r="L272" t="s">
        <v>331</v>
      </c>
      <c r="M272" t="s">
        <v>406</v>
      </c>
      <c r="N272" t="s">
        <v>407</v>
      </c>
      <c r="O272">
        <f ca="1">DATEDIF(HRDataset_clean[[#This Row],[DOB]], TODAY(), "Y")</f>
        <v>36</v>
      </c>
      <c r="P272">
        <f ca="1">DATEDIF(HRDataset_clean[[#This Row],[DateofHire]], IF(HRDataset_clean[[#This Row],[DateofTermination]]="", TODAY(),HRDataset_clean[[#This Row],[DateofTermination]]),"Y")</f>
        <v>15</v>
      </c>
    </row>
    <row r="273" spans="1:16" x14ac:dyDescent="0.35">
      <c r="A273" t="s">
        <v>679</v>
      </c>
      <c r="B273">
        <v>10158</v>
      </c>
      <c r="C273">
        <v>0</v>
      </c>
      <c r="D273" s="2">
        <v>63682</v>
      </c>
      <c r="E273" s="3" t="s">
        <v>396</v>
      </c>
      <c r="F273" s="1">
        <v>28577</v>
      </c>
      <c r="G273" t="s">
        <v>342</v>
      </c>
      <c r="H273" t="s">
        <v>329</v>
      </c>
      <c r="I273" s="1">
        <v>39821</v>
      </c>
      <c r="K273" t="s">
        <v>330</v>
      </c>
      <c r="L273" t="s">
        <v>331</v>
      </c>
      <c r="M273" t="s">
        <v>332</v>
      </c>
      <c r="N273" t="s">
        <v>398</v>
      </c>
      <c r="O273">
        <f ca="1">DATEDIF(HRDataset_clean[[#This Row],[DOB]], TODAY(), "Y")</f>
        <v>47</v>
      </c>
      <c r="P273">
        <f ca="1">DATEDIF(HRDataset_clean[[#This Row],[DateofHire]], IF(HRDataset_clean[[#This Row],[DateofTermination]]="", TODAY(),HRDataset_clean[[#This Row],[DateofTermination]]),"Y")</f>
        <v>16</v>
      </c>
    </row>
    <row r="274" spans="1:16" x14ac:dyDescent="0.35">
      <c r="A274" t="s">
        <v>680</v>
      </c>
      <c r="B274">
        <v>10117</v>
      </c>
      <c r="C274">
        <v>1</v>
      </c>
      <c r="D274" s="2">
        <v>63025</v>
      </c>
      <c r="E274" s="3" t="s">
        <v>327</v>
      </c>
      <c r="F274" s="1">
        <v>30231</v>
      </c>
      <c r="G274" t="s">
        <v>328</v>
      </c>
      <c r="H274" t="s">
        <v>329</v>
      </c>
      <c r="I274" s="1">
        <v>42009</v>
      </c>
      <c r="K274" t="s">
        <v>330</v>
      </c>
      <c r="L274" t="s">
        <v>331</v>
      </c>
      <c r="M274" t="s">
        <v>332</v>
      </c>
      <c r="N274" t="s">
        <v>333</v>
      </c>
      <c r="O274">
        <f ca="1">DATEDIF(HRDataset_clean[[#This Row],[DOB]], TODAY(), "Y")</f>
        <v>43</v>
      </c>
      <c r="P274">
        <f ca="1">DATEDIF(HRDataset_clean[[#This Row],[DateofHire]], IF(HRDataset_clean[[#This Row],[DateofTermination]]="", TODAY(),HRDataset_clean[[#This Row],[DateofTermination]]),"Y")</f>
        <v>10</v>
      </c>
    </row>
    <row r="275" spans="1:16" x14ac:dyDescent="0.35">
      <c r="A275" t="s">
        <v>681</v>
      </c>
      <c r="B275">
        <v>10209</v>
      </c>
      <c r="C275">
        <v>0</v>
      </c>
      <c r="D275" s="2">
        <v>59238</v>
      </c>
      <c r="E275" s="3" t="s">
        <v>327</v>
      </c>
      <c r="F275" s="1">
        <v>25065</v>
      </c>
      <c r="G275" t="s">
        <v>342</v>
      </c>
      <c r="H275" t="s">
        <v>378</v>
      </c>
      <c r="I275" s="1">
        <v>41043</v>
      </c>
      <c r="K275" t="s">
        <v>330</v>
      </c>
      <c r="L275" t="s">
        <v>331</v>
      </c>
      <c r="M275" t="s">
        <v>332</v>
      </c>
      <c r="N275" t="s">
        <v>346</v>
      </c>
      <c r="O275">
        <f ca="1">DATEDIF(HRDataset_clean[[#This Row],[DOB]], TODAY(), "Y")</f>
        <v>57</v>
      </c>
      <c r="P275">
        <f ca="1">DATEDIF(HRDataset_clean[[#This Row],[DateofHire]], IF(HRDataset_clean[[#This Row],[DateofTermination]]="", TODAY(),HRDataset_clean[[#This Row],[DateofTermination]]),"Y")</f>
        <v>13</v>
      </c>
    </row>
    <row r="276" spans="1:16" x14ac:dyDescent="0.35">
      <c r="A276" t="s">
        <v>682</v>
      </c>
      <c r="B276">
        <v>10024</v>
      </c>
      <c r="C276">
        <v>1</v>
      </c>
      <c r="D276" s="2">
        <v>92989</v>
      </c>
      <c r="E276" s="3" t="s">
        <v>353</v>
      </c>
      <c r="F276" s="1">
        <v>30442</v>
      </c>
      <c r="G276" t="s">
        <v>328</v>
      </c>
      <c r="H276" t="s">
        <v>329</v>
      </c>
      <c r="I276" s="1">
        <v>41827</v>
      </c>
      <c r="K276" t="s">
        <v>330</v>
      </c>
      <c r="L276" t="s">
        <v>331</v>
      </c>
      <c r="M276" t="s">
        <v>354</v>
      </c>
      <c r="N276" t="s">
        <v>355</v>
      </c>
      <c r="O276">
        <f ca="1">DATEDIF(HRDataset_clean[[#This Row],[DOB]], TODAY(), "Y")</f>
        <v>42</v>
      </c>
      <c r="P276">
        <f ca="1">DATEDIF(HRDataset_clean[[#This Row],[DateofHire]], IF(HRDataset_clean[[#This Row],[DateofTermination]]="", TODAY(),HRDataset_clean[[#This Row],[DateofTermination]]),"Y")</f>
        <v>11</v>
      </c>
    </row>
    <row r="277" spans="1:16" x14ac:dyDescent="0.35">
      <c r="A277" t="s">
        <v>683</v>
      </c>
      <c r="B277">
        <v>10173</v>
      </c>
      <c r="C277">
        <v>1</v>
      </c>
      <c r="D277" s="2">
        <v>90100</v>
      </c>
      <c r="E277" s="3" t="s">
        <v>458</v>
      </c>
      <c r="F277" s="1">
        <v>32074</v>
      </c>
      <c r="G277" t="s">
        <v>328</v>
      </c>
      <c r="H277" t="s">
        <v>329</v>
      </c>
      <c r="I277" s="1">
        <v>42845</v>
      </c>
      <c r="K277" t="s">
        <v>330</v>
      </c>
      <c r="L277" t="s">
        <v>331</v>
      </c>
      <c r="M277" t="s">
        <v>338</v>
      </c>
      <c r="N277" t="s">
        <v>459</v>
      </c>
      <c r="O277">
        <f ca="1">DATEDIF(HRDataset_clean[[#This Row],[DOB]], TODAY(), "Y")</f>
        <v>38</v>
      </c>
      <c r="P277">
        <f ca="1">DATEDIF(HRDataset_clean[[#This Row],[DateofHire]], IF(HRDataset_clean[[#This Row],[DateofTermination]]="", TODAY(),HRDataset_clean[[#This Row],[DateofTermination]]),"Y")</f>
        <v>8</v>
      </c>
    </row>
    <row r="278" spans="1:16" x14ac:dyDescent="0.35">
      <c r="A278" t="s">
        <v>684</v>
      </c>
      <c r="B278">
        <v>10221</v>
      </c>
      <c r="C278">
        <v>0</v>
      </c>
      <c r="D278" s="2">
        <v>60754</v>
      </c>
      <c r="E278" s="3" t="s">
        <v>327</v>
      </c>
      <c r="F278" s="1">
        <v>27487</v>
      </c>
      <c r="G278" t="s">
        <v>342</v>
      </c>
      <c r="H278" t="s">
        <v>428</v>
      </c>
      <c r="I278" s="1">
        <v>39930</v>
      </c>
      <c r="J278" s="1">
        <v>41365</v>
      </c>
      <c r="K278" t="s">
        <v>364</v>
      </c>
      <c r="L278" t="s">
        <v>337</v>
      </c>
      <c r="M278" t="s">
        <v>332</v>
      </c>
      <c r="N278" t="s">
        <v>349</v>
      </c>
      <c r="O278">
        <f ca="1">DATEDIF(HRDataset_clean[[#This Row],[DOB]], TODAY(), "Y")</f>
        <v>50</v>
      </c>
      <c r="P278">
        <f ca="1">DATEDIF(HRDataset_clean[[#This Row],[DateofHire]], IF(HRDataset_clean[[#This Row],[DateofTermination]]="", TODAY(),HRDataset_clean[[#This Row],[DateofTermination]]),"Y")</f>
        <v>3</v>
      </c>
    </row>
    <row r="279" spans="1:16" x14ac:dyDescent="0.35">
      <c r="A279" t="s">
        <v>685</v>
      </c>
      <c r="B279">
        <v>10146</v>
      </c>
      <c r="C279">
        <v>0</v>
      </c>
      <c r="D279" s="2">
        <v>72202</v>
      </c>
      <c r="E279" s="3" t="s">
        <v>341</v>
      </c>
      <c r="F279" s="1">
        <v>19503</v>
      </c>
      <c r="G279" t="s">
        <v>342</v>
      </c>
      <c r="H279" t="s">
        <v>329</v>
      </c>
      <c r="I279" s="1">
        <v>40679</v>
      </c>
      <c r="J279" s="1">
        <v>42924</v>
      </c>
      <c r="K279" t="s">
        <v>364</v>
      </c>
      <c r="L279" t="s">
        <v>337</v>
      </c>
      <c r="M279" t="s">
        <v>332</v>
      </c>
      <c r="N279" t="s">
        <v>346</v>
      </c>
      <c r="O279">
        <f ca="1">DATEDIF(HRDataset_clean[[#This Row],[DOB]], TODAY(), "Y")</f>
        <v>72</v>
      </c>
      <c r="P279">
        <f ca="1">DATEDIF(HRDataset_clean[[#This Row],[DateofHire]], IF(HRDataset_clean[[#This Row],[DateofTermination]]="", TODAY(),HRDataset_clean[[#This Row],[DateofTermination]]),"Y")</f>
        <v>6</v>
      </c>
    </row>
    <row r="280" spans="1:16" x14ac:dyDescent="0.35">
      <c r="A280" t="s">
        <v>686</v>
      </c>
      <c r="B280">
        <v>10161</v>
      </c>
      <c r="C280">
        <v>0</v>
      </c>
      <c r="D280" s="2">
        <v>58370</v>
      </c>
      <c r="E280" s="3" t="s">
        <v>405</v>
      </c>
      <c r="F280" s="1">
        <v>23869</v>
      </c>
      <c r="G280" t="s">
        <v>342</v>
      </c>
      <c r="H280" t="s">
        <v>329</v>
      </c>
      <c r="I280" s="1">
        <v>41911</v>
      </c>
      <c r="K280" t="s">
        <v>330</v>
      </c>
      <c r="L280" t="s">
        <v>331</v>
      </c>
      <c r="M280" t="s">
        <v>406</v>
      </c>
      <c r="N280" t="s">
        <v>424</v>
      </c>
      <c r="O280">
        <f ca="1">DATEDIF(HRDataset_clean[[#This Row],[DOB]], TODAY(), "Y")</f>
        <v>60</v>
      </c>
      <c r="P280">
        <f ca="1">DATEDIF(HRDataset_clean[[#This Row],[DateofHire]], IF(HRDataset_clean[[#This Row],[DateofTermination]]="", TODAY(),HRDataset_clean[[#This Row],[DateofTermination]]),"Y")</f>
        <v>11</v>
      </c>
    </row>
    <row r="281" spans="1:16" x14ac:dyDescent="0.35">
      <c r="A281" t="s">
        <v>687</v>
      </c>
      <c r="B281">
        <v>10141</v>
      </c>
      <c r="C281">
        <v>0</v>
      </c>
      <c r="D281" s="2">
        <v>48413</v>
      </c>
      <c r="E281" s="3" t="s">
        <v>327</v>
      </c>
      <c r="F281" s="1">
        <v>23871</v>
      </c>
      <c r="G281" t="s">
        <v>342</v>
      </c>
      <c r="H281" t="s">
        <v>329</v>
      </c>
      <c r="I281" s="1">
        <v>40729</v>
      </c>
      <c r="J281" s="1">
        <v>42618</v>
      </c>
      <c r="K281" t="s">
        <v>348</v>
      </c>
      <c r="L281" t="s">
        <v>337</v>
      </c>
      <c r="M281" t="s">
        <v>332</v>
      </c>
      <c r="N281" t="s">
        <v>351</v>
      </c>
      <c r="O281">
        <f ca="1">DATEDIF(HRDataset_clean[[#This Row],[DOB]], TODAY(), "Y")</f>
        <v>60</v>
      </c>
      <c r="P281">
        <f ca="1">DATEDIF(HRDataset_clean[[#This Row],[DateofHire]], IF(HRDataset_clean[[#This Row],[DateofTermination]]="", TODAY(),HRDataset_clean[[#This Row],[DateofTermination]]),"Y")</f>
        <v>5</v>
      </c>
    </row>
    <row r="282" spans="1:16" x14ac:dyDescent="0.35">
      <c r="A282" t="s">
        <v>688</v>
      </c>
      <c r="B282">
        <v>10268</v>
      </c>
      <c r="C282">
        <v>1</v>
      </c>
      <c r="D282" s="2">
        <v>67176</v>
      </c>
      <c r="E282" s="3" t="s">
        <v>341</v>
      </c>
      <c r="F282" s="1">
        <v>27653</v>
      </c>
      <c r="G282" t="s">
        <v>328</v>
      </c>
      <c r="H282" t="s">
        <v>329</v>
      </c>
      <c r="I282" s="1">
        <v>39258</v>
      </c>
      <c r="J282" s="1">
        <v>40420</v>
      </c>
      <c r="K282" t="s">
        <v>471</v>
      </c>
      <c r="L282" t="s">
        <v>337</v>
      </c>
      <c r="M282" t="s">
        <v>332</v>
      </c>
      <c r="N282" t="s">
        <v>349</v>
      </c>
      <c r="O282">
        <f ca="1">DATEDIF(HRDataset_clean[[#This Row],[DOB]], TODAY(), "Y")</f>
        <v>50</v>
      </c>
      <c r="P282">
        <f ca="1">DATEDIF(HRDataset_clean[[#This Row],[DateofHire]], IF(HRDataset_clean[[#This Row],[DateofTermination]]="", TODAY(),HRDataset_clean[[#This Row],[DateofTermination]]),"Y")</f>
        <v>3</v>
      </c>
    </row>
    <row r="283" spans="1:16" x14ac:dyDescent="0.35">
      <c r="A283" t="s">
        <v>689</v>
      </c>
      <c r="B283">
        <v>10123</v>
      </c>
      <c r="C283">
        <v>0</v>
      </c>
      <c r="D283" s="2">
        <v>56339</v>
      </c>
      <c r="E283" s="3" t="s">
        <v>327</v>
      </c>
      <c r="F283" s="1">
        <v>24628</v>
      </c>
      <c r="G283" t="s">
        <v>342</v>
      </c>
      <c r="H283" t="s">
        <v>329</v>
      </c>
      <c r="I283" s="1">
        <v>41323</v>
      </c>
      <c r="K283" t="s">
        <v>330</v>
      </c>
      <c r="L283" t="s">
        <v>331</v>
      </c>
      <c r="M283" t="s">
        <v>332</v>
      </c>
      <c r="N283" t="s">
        <v>359</v>
      </c>
      <c r="O283">
        <f ca="1">DATEDIF(HRDataset_clean[[#This Row],[DOB]], TODAY(), "Y")</f>
        <v>58</v>
      </c>
      <c r="P283">
        <f ca="1">DATEDIF(HRDataset_clean[[#This Row],[DateofHire]], IF(HRDataset_clean[[#This Row],[DateofTermination]]="", TODAY(),HRDataset_clean[[#This Row],[DateofTermination]]),"Y")</f>
        <v>12</v>
      </c>
    </row>
    <row r="284" spans="1:16" x14ac:dyDescent="0.35">
      <c r="A284" t="s">
        <v>690</v>
      </c>
      <c r="B284">
        <v>10013</v>
      </c>
      <c r="C284">
        <v>1</v>
      </c>
      <c r="D284" s="2">
        <v>64397</v>
      </c>
      <c r="E284" s="3" t="s">
        <v>405</v>
      </c>
      <c r="F284" s="1">
        <v>24852</v>
      </c>
      <c r="G284" t="s">
        <v>328</v>
      </c>
      <c r="H284" t="s">
        <v>329</v>
      </c>
      <c r="I284" s="1">
        <v>38726</v>
      </c>
      <c r="K284" t="s">
        <v>330</v>
      </c>
      <c r="L284" t="s">
        <v>331</v>
      </c>
      <c r="M284" t="s">
        <v>406</v>
      </c>
      <c r="N284" t="s">
        <v>424</v>
      </c>
      <c r="O284">
        <f ca="1">DATEDIF(HRDataset_clean[[#This Row],[DOB]], TODAY(), "Y")</f>
        <v>57</v>
      </c>
      <c r="P284">
        <f ca="1">DATEDIF(HRDataset_clean[[#This Row],[DateofHire]], IF(HRDataset_clean[[#This Row],[DateofTermination]]="", TODAY(),HRDataset_clean[[#This Row],[DateofTermination]]),"Y")</f>
        <v>19</v>
      </c>
    </row>
    <row r="285" spans="1:16" x14ac:dyDescent="0.35">
      <c r="A285" t="s">
        <v>691</v>
      </c>
      <c r="B285">
        <v>10287</v>
      </c>
      <c r="C285">
        <v>0</v>
      </c>
      <c r="D285" s="2">
        <v>63025</v>
      </c>
      <c r="E285" s="3" t="s">
        <v>327</v>
      </c>
      <c r="F285" s="1">
        <v>30452</v>
      </c>
      <c r="G285" t="s">
        <v>342</v>
      </c>
      <c r="H285" t="s">
        <v>329</v>
      </c>
      <c r="I285" s="1">
        <v>41687</v>
      </c>
      <c r="K285" t="s">
        <v>330</v>
      </c>
      <c r="L285" t="s">
        <v>331</v>
      </c>
      <c r="M285" t="s">
        <v>332</v>
      </c>
      <c r="N285" t="s">
        <v>365</v>
      </c>
      <c r="O285">
        <f ca="1">DATEDIF(HRDataset_clean[[#This Row],[DOB]], TODAY(), "Y")</f>
        <v>42</v>
      </c>
      <c r="P285">
        <f ca="1">DATEDIF(HRDataset_clean[[#This Row],[DateofHire]], IF(HRDataset_clean[[#This Row],[DateofTermination]]="", TODAY(),HRDataset_clean[[#This Row],[DateofTermination]]),"Y")</f>
        <v>11</v>
      </c>
    </row>
    <row r="286" spans="1:16" x14ac:dyDescent="0.35">
      <c r="A286" t="s">
        <v>692</v>
      </c>
      <c r="B286">
        <v>10044</v>
      </c>
      <c r="C286">
        <v>1</v>
      </c>
      <c r="D286" s="2">
        <v>75281</v>
      </c>
      <c r="E286" s="3" t="s">
        <v>484</v>
      </c>
      <c r="F286" s="1">
        <v>32268</v>
      </c>
      <c r="G286" t="s">
        <v>328</v>
      </c>
      <c r="H286" t="s">
        <v>329</v>
      </c>
      <c r="I286" s="1">
        <v>42009</v>
      </c>
      <c r="J286" s="1">
        <v>42412</v>
      </c>
      <c r="K286" t="s">
        <v>621</v>
      </c>
      <c r="L286" t="s">
        <v>337</v>
      </c>
      <c r="M286" t="s">
        <v>338</v>
      </c>
      <c r="N286" t="s">
        <v>362</v>
      </c>
      <c r="O286">
        <f ca="1">DATEDIF(HRDataset_clean[[#This Row],[DOB]], TODAY(), "Y")</f>
        <v>37</v>
      </c>
      <c r="P286">
        <f ca="1">DATEDIF(HRDataset_clean[[#This Row],[DateofHire]], IF(HRDataset_clean[[#This Row],[DateofTermination]]="", TODAY(),HRDataset_clean[[#This Row],[DateofTermination]]),"Y")</f>
        <v>1</v>
      </c>
    </row>
    <row r="287" spans="1:16" x14ac:dyDescent="0.35">
      <c r="A287" t="s">
        <v>693</v>
      </c>
      <c r="B287">
        <v>10102</v>
      </c>
      <c r="C287">
        <v>1</v>
      </c>
      <c r="D287" s="2">
        <v>100416</v>
      </c>
      <c r="E287" s="3" t="s">
        <v>353</v>
      </c>
      <c r="F287" s="1">
        <v>30481</v>
      </c>
      <c r="G287" t="s">
        <v>328</v>
      </c>
      <c r="H287" t="s">
        <v>428</v>
      </c>
      <c r="I287" s="1">
        <v>41323</v>
      </c>
      <c r="J287" s="1">
        <v>43205</v>
      </c>
      <c r="K287" t="s">
        <v>621</v>
      </c>
      <c r="L287" t="s">
        <v>337</v>
      </c>
      <c r="M287" t="s">
        <v>354</v>
      </c>
      <c r="N287" t="s">
        <v>355</v>
      </c>
      <c r="O287">
        <f ca="1">DATEDIF(HRDataset_clean[[#This Row],[DOB]], TODAY(), "Y")</f>
        <v>42</v>
      </c>
      <c r="P287">
        <f ca="1">DATEDIF(HRDataset_clean[[#This Row],[DateofHire]], IF(HRDataset_clean[[#This Row],[DateofTermination]]="", TODAY(),HRDataset_clean[[#This Row],[DateofTermination]]),"Y")</f>
        <v>5</v>
      </c>
    </row>
    <row r="288" spans="1:16" x14ac:dyDescent="0.35">
      <c r="A288" t="s">
        <v>694</v>
      </c>
      <c r="B288">
        <v>10270</v>
      </c>
      <c r="C288">
        <v>0</v>
      </c>
      <c r="D288" s="2">
        <v>74813</v>
      </c>
      <c r="E288" s="3" t="s">
        <v>341</v>
      </c>
      <c r="F288" s="1">
        <v>31121</v>
      </c>
      <c r="G288" t="s">
        <v>342</v>
      </c>
      <c r="H288" t="s">
        <v>329</v>
      </c>
      <c r="I288" s="1">
        <v>40553</v>
      </c>
      <c r="J288" s="1">
        <v>41822</v>
      </c>
      <c r="K288" t="s">
        <v>367</v>
      </c>
      <c r="L288" t="s">
        <v>337</v>
      </c>
      <c r="M288" t="s">
        <v>332</v>
      </c>
      <c r="N288" t="s">
        <v>351</v>
      </c>
      <c r="O288">
        <f ca="1">DATEDIF(HRDataset_clean[[#This Row],[DOB]], TODAY(), "Y")</f>
        <v>40</v>
      </c>
      <c r="P288">
        <f ca="1">DATEDIF(HRDataset_clean[[#This Row],[DateofHire]], IF(HRDataset_clean[[#This Row],[DateofTermination]]="", TODAY(),HRDataset_clean[[#This Row],[DateofTermination]]),"Y")</f>
        <v>3</v>
      </c>
    </row>
    <row r="289" spans="1:16" x14ac:dyDescent="0.35">
      <c r="A289" t="s">
        <v>695</v>
      </c>
      <c r="B289">
        <v>10045</v>
      </c>
      <c r="C289">
        <v>1</v>
      </c>
      <c r="D289" s="2">
        <v>76029</v>
      </c>
      <c r="E289" s="3" t="s">
        <v>484</v>
      </c>
      <c r="F289" s="1">
        <v>25293</v>
      </c>
      <c r="G289" t="s">
        <v>328</v>
      </c>
      <c r="H289" t="s">
        <v>378</v>
      </c>
      <c r="I289" s="1">
        <v>42093</v>
      </c>
      <c r="K289" t="s">
        <v>330</v>
      </c>
      <c r="L289" t="s">
        <v>331</v>
      </c>
      <c r="M289" t="s">
        <v>338</v>
      </c>
      <c r="N289" t="s">
        <v>362</v>
      </c>
      <c r="O289">
        <f ca="1">DATEDIF(HRDataset_clean[[#This Row],[DOB]], TODAY(), "Y")</f>
        <v>56</v>
      </c>
      <c r="P289">
        <f ca="1">DATEDIF(HRDataset_clean[[#This Row],[DateofHire]], IF(HRDataset_clean[[#This Row],[DateofTermination]]="", TODAY(),HRDataset_clean[[#This Row],[DateofTermination]]),"Y")</f>
        <v>10</v>
      </c>
    </row>
    <row r="290" spans="1:16" x14ac:dyDescent="0.35">
      <c r="A290" t="s">
        <v>696</v>
      </c>
      <c r="B290">
        <v>10205</v>
      </c>
      <c r="C290">
        <v>0</v>
      </c>
      <c r="D290" s="2">
        <v>57859</v>
      </c>
      <c r="E290" s="3" t="s">
        <v>405</v>
      </c>
      <c r="F290" s="1">
        <v>33381</v>
      </c>
      <c r="G290" t="s">
        <v>342</v>
      </c>
      <c r="H290" t="s">
        <v>329</v>
      </c>
      <c r="I290" s="1">
        <v>40729</v>
      </c>
      <c r="K290" t="s">
        <v>330</v>
      </c>
      <c r="L290" t="s">
        <v>331</v>
      </c>
      <c r="M290" t="s">
        <v>406</v>
      </c>
      <c r="N290" t="s">
        <v>407</v>
      </c>
      <c r="O290">
        <f ca="1">DATEDIF(HRDataset_clean[[#This Row],[DOB]], TODAY(), "Y")</f>
        <v>34</v>
      </c>
      <c r="P290">
        <f ca="1">DATEDIF(HRDataset_clean[[#This Row],[DateofHire]], IF(HRDataset_clean[[#This Row],[DateofTermination]]="", TODAY(),HRDataset_clean[[#This Row],[DateofTermination]]),"Y")</f>
        <v>14</v>
      </c>
    </row>
    <row r="291" spans="1:16" x14ac:dyDescent="0.35">
      <c r="A291" t="s">
        <v>697</v>
      </c>
      <c r="B291">
        <v>10014</v>
      </c>
      <c r="C291">
        <v>1</v>
      </c>
      <c r="D291" s="2">
        <v>58523</v>
      </c>
      <c r="E291" s="3" t="s">
        <v>327</v>
      </c>
      <c r="F291" s="1">
        <v>31808</v>
      </c>
      <c r="G291" t="s">
        <v>328</v>
      </c>
      <c r="H291" t="s">
        <v>329</v>
      </c>
      <c r="I291" s="1">
        <v>41134</v>
      </c>
      <c r="J291" s="1">
        <v>42405</v>
      </c>
      <c r="K291" t="s">
        <v>546</v>
      </c>
      <c r="L291" t="s">
        <v>337</v>
      </c>
      <c r="M291" t="s">
        <v>332</v>
      </c>
      <c r="N291" t="s">
        <v>344</v>
      </c>
      <c r="O291">
        <f ca="1">DATEDIF(HRDataset_clean[[#This Row],[DOB]], TODAY(), "Y")</f>
        <v>38</v>
      </c>
      <c r="P291">
        <f ca="1">DATEDIF(HRDataset_clean[[#This Row],[DateofHire]], IF(HRDataset_clean[[#This Row],[DateofTermination]]="", TODAY(),HRDataset_clean[[#This Row],[DateofTermination]]),"Y")</f>
        <v>3</v>
      </c>
    </row>
    <row r="292" spans="1:16" x14ac:dyDescent="0.35">
      <c r="A292" t="s">
        <v>698</v>
      </c>
      <c r="B292">
        <v>10144</v>
      </c>
      <c r="C292">
        <v>1</v>
      </c>
      <c r="D292" s="2">
        <v>88976</v>
      </c>
      <c r="E292" s="3" t="s">
        <v>396</v>
      </c>
      <c r="F292" s="1">
        <v>25121</v>
      </c>
      <c r="G292" t="s">
        <v>328</v>
      </c>
      <c r="H292" t="s">
        <v>329</v>
      </c>
      <c r="I292" s="1">
        <v>40756</v>
      </c>
      <c r="K292" t="s">
        <v>330</v>
      </c>
      <c r="L292" t="s">
        <v>331</v>
      </c>
      <c r="M292" t="s">
        <v>332</v>
      </c>
      <c r="N292" t="s">
        <v>398</v>
      </c>
      <c r="O292">
        <f ca="1">DATEDIF(HRDataset_clean[[#This Row],[DOB]], TODAY(), "Y")</f>
        <v>57</v>
      </c>
      <c r="P292">
        <f ca="1">DATEDIF(HRDataset_clean[[#This Row],[DateofHire]], IF(HRDataset_clean[[#This Row],[DateofTermination]]="", TODAY(),HRDataset_clean[[#This Row],[DateofTermination]]),"Y")</f>
        <v>14</v>
      </c>
    </row>
    <row r="293" spans="1:16" x14ac:dyDescent="0.35">
      <c r="A293" t="s">
        <v>699</v>
      </c>
      <c r="B293">
        <v>10253</v>
      </c>
      <c r="C293">
        <v>1</v>
      </c>
      <c r="D293" s="2">
        <v>55875</v>
      </c>
      <c r="E293" s="3" t="s">
        <v>405</v>
      </c>
      <c r="F293" s="1">
        <v>32700</v>
      </c>
      <c r="G293" t="s">
        <v>328</v>
      </c>
      <c r="H293" t="s">
        <v>329</v>
      </c>
      <c r="I293" s="1">
        <v>40973</v>
      </c>
      <c r="K293" t="s">
        <v>330</v>
      </c>
      <c r="L293" t="s">
        <v>331</v>
      </c>
      <c r="M293" t="s">
        <v>406</v>
      </c>
      <c r="N293" t="s">
        <v>407</v>
      </c>
      <c r="O293">
        <f ca="1">DATEDIF(HRDataset_clean[[#This Row],[DOB]], TODAY(), "Y")</f>
        <v>36</v>
      </c>
      <c r="P293">
        <f ca="1">DATEDIF(HRDataset_clean[[#This Row],[DateofHire]], IF(HRDataset_clean[[#This Row],[DateofTermination]]="", TODAY(),HRDataset_clean[[#This Row],[DateofTermination]]),"Y")</f>
        <v>13</v>
      </c>
    </row>
    <row r="294" spans="1:16" x14ac:dyDescent="0.35">
      <c r="A294" t="s">
        <v>700</v>
      </c>
      <c r="B294">
        <v>10118</v>
      </c>
      <c r="C294">
        <v>1</v>
      </c>
      <c r="D294" s="2">
        <v>113999</v>
      </c>
      <c r="E294" s="3" t="s">
        <v>380</v>
      </c>
      <c r="F294" s="1">
        <v>31631</v>
      </c>
      <c r="G294" t="s">
        <v>328</v>
      </c>
      <c r="H294" t="s">
        <v>329</v>
      </c>
      <c r="I294" s="1">
        <v>42051</v>
      </c>
      <c r="J294" s="1">
        <v>42788</v>
      </c>
      <c r="K294" t="s">
        <v>477</v>
      </c>
      <c r="L294" t="s">
        <v>375</v>
      </c>
      <c r="M294" t="s">
        <v>338</v>
      </c>
      <c r="N294" t="s">
        <v>339</v>
      </c>
      <c r="O294">
        <f ca="1">DATEDIF(HRDataset_clean[[#This Row],[DOB]], TODAY(), "Y")</f>
        <v>39</v>
      </c>
      <c r="P294">
        <f ca="1">DATEDIF(HRDataset_clean[[#This Row],[DateofHire]], IF(HRDataset_clean[[#This Row],[DateofTermination]]="", TODAY(),HRDataset_clean[[#This Row],[DateofTermination]]),"Y")</f>
        <v>2</v>
      </c>
    </row>
    <row r="295" spans="1:16" x14ac:dyDescent="0.35">
      <c r="A295" t="s">
        <v>701</v>
      </c>
      <c r="B295">
        <v>10022</v>
      </c>
      <c r="C295">
        <v>0</v>
      </c>
      <c r="D295" s="2">
        <v>49773</v>
      </c>
      <c r="E295" s="3" t="s">
        <v>327</v>
      </c>
      <c r="F295" s="1">
        <v>31566</v>
      </c>
      <c r="G295" t="s">
        <v>342</v>
      </c>
      <c r="H295" t="s">
        <v>329</v>
      </c>
      <c r="I295" s="1">
        <v>40812</v>
      </c>
      <c r="J295" s="1">
        <v>42408</v>
      </c>
      <c r="K295" t="s">
        <v>702</v>
      </c>
      <c r="L295" t="s">
        <v>375</v>
      </c>
      <c r="M295" t="s">
        <v>332</v>
      </c>
      <c r="N295" t="s">
        <v>371</v>
      </c>
      <c r="O295">
        <f ca="1">DATEDIF(HRDataset_clean[[#This Row],[DOB]], TODAY(), "Y")</f>
        <v>39</v>
      </c>
      <c r="P295">
        <f ca="1">DATEDIF(HRDataset_clean[[#This Row],[DateofHire]], IF(HRDataset_clean[[#This Row],[DateofTermination]]="", TODAY(),HRDataset_clean[[#This Row],[DateofTermination]]),"Y")</f>
        <v>4</v>
      </c>
    </row>
    <row r="296" spans="1:16" x14ac:dyDescent="0.35">
      <c r="A296" t="s">
        <v>703</v>
      </c>
      <c r="B296">
        <v>10183</v>
      </c>
      <c r="C296">
        <v>0</v>
      </c>
      <c r="D296" s="2">
        <v>62068</v>
      </c>
      <c r="E296" s="3" t="s">
        <v>327</v>
      </c>
      <c r="F296" s="1">
        <v>31143</v>
      </c>
      <c r="G296" t="s">
        <v>342</v>
      </c>
      <c r="H296" t="s">
        <v>329</v>
      </c>
      <c r="I296" s="1">
        <v>42190</v>
      </c>
      <c r="K296" t="s">
        <v>330</v>
      </c>
      <c r="L296" t="s">
        <v>331</v>
      </c>
      <c r="M296" t="s">
        <v>332</v>
      </c>
      <c r="N296" t="s">
        <v>333</v>
      </c>
      <c r="O296">
        <f ca="1">DATEDIF(HRDataset_clean[[#This Row],[DOB]], TODAY(), "Y")</f>
        <v>40</v>
      </c>
      <c r="P296">
        <f ca="1">DATEDIF(HRDataset_clean[[#This Row],[DateofHire]], IF(HRDataset_clean[[#This Row],[DateofTermination]]="", TODAY(),HRDataset_clean[[#This Row],[DateofTermination]]),"Y")</f>
        <v>10</v>
      </c>
    </row>
    <row r="297" spans="1:16" x14ac:dyDescent="0.35">
      <c r="A297" t="s">
        <v>704</v>
      </c>
      <c r="B297">
        <v>10190</v>
      </c>
      <c r="C297">
        <v>1</v>
      </c>
      <c r="D297" s="2">
        <v>66541</v>
      </c>
      <c r="E297" s="3" t="s">
        <v>341</v>
      </c>
      <c r="F297" s="1">
        <v>27800</v>
      </c>
      <c r="G297" t="s">
        <v>328</v>
      </c>
      <c r="H297" t="s">
        <v>329</v>
      </c>
      <c r="I297" s="1">
        <v>41869</v>
      </c>
      <c r="K297" t="s">
        <v>330</v>
      </c>
      <c r="L297" t="s">
        <v>331</v>
      </c>
      <c r="M297" t="s">
        <v>332</v>
      </c>
      <c r="N297" t="s">
        <v>357</v>
      </c>
      <c r="O297">
        <f ca="1">DATEDIF(HRDataset_clean[[#This Row],[DOB]], TODAY(), "Y")</f>
        <v>49</v>
      </c>
      <c r="P297">
        <f ca="1">DATEDIF(HRDataset_clean[[#This Row],[DateofHire]], IF(HRDataset_clean[[#This Row],[DateofTermination]]="", TODAY(),HRDataset_clean[[#This Row],[DateofTermination]]),"Y")</f>
        <v>11</v>
      </c>
    </row>
    <row r="298" spans="1:16" x14ac:dyDescent="0.35">
      <c r="A298" t="s">
        <v>705</v>
      </c>
      <c r="B298">
        <v>10274</v>
      </c>
      <c r="C298">
        <v>0</v>
      </c>
      <c r="D298" s="2">
        <v>80512</v>
      </c>
      <c r="E298" s="3" t="s">
        <v>396</v>
      </c>
      <c r="F298" s="1">
        <v>20407</v>
      </c>
      <c r="G298" t="s">
        <v>342</v>
      </c>
      <c r="H298" t="s">
        <v>329</v>
      </c>
      <c r="I298" s="1">
        <v>40812</v>
      </c>
      <c r="J298" s="1">
        <v>40910</v>
      </c>
      <c r="K298" t="s">
        <v>364</v>
      </c>
      <c r="L298" t="s">
        <v>337</v>
      </c>
      <c r="M298" t="s">
        <v>332</v>
      </c>
      <c r="N298" t="s">
        <v>398</v>
      </c>
      <c r="O298">
        <f ca="1">DATEDIF(HRDataset_clean[[#This Row],[DOB]], TODAY(), "Y")</f>
        <v>70</v>
      </c>
      <c r="P298">
        <f ca="1">DATEDIF(HRDataset_clean[[#This Row],[DateofHire]], IF(HRDataset_clean[[#This Row],[DateofTermination]]="", TODAY(),HRDataset_clean[[#This Row],[DateofTermination]]),"Y")</f>
        <v>0</v>
      </c>
    </row>
    <row r="299" spans="1:16" x14ac:dyDescent="0.35">
      <c r="A299" t="s">
        <v>706</v>
      </c>
      <c r="B299">
        <v>10293</v>
      </c>
      <c r="C299">
        <v>0</v>
      </c>
      <c r="D299" s="2">
        <v>50274</v>
      </c>
      <c r="E299" s="3" t="s">
        <v>327</v>
      </c>
      <c r="F299" s="1">
        <v>29435</v>
      </c>
      <c r="G299" t="s">
        <v>342</v>
      </c>
      <c r="H299" t="s">
        <v>329</v>
      </c>
      <c r="I299" s="1">
        <v>41134</v>
      </c>
      <c r="J299" s="1">
        <v>42248</v>
      </c>
      <c r="K299" t="s">
        <v>336</v>
      </c>
      <c r="L299" t="s">
        <v>337</v>
      </c>
      <c r="M299" t="s">
        <v>332</v>
      </c>
      <c r="N299" t="s">
        <v>346</v>
      </c>
      <c r="O299">
        <f ca="1">DATEDIF(HRDataset_clean[[#This Row],[DOB]], TODAY(), "Y")</f>
        <v>45</v>
      </c>
      <c r="P299">
        <f ca="1">DATEDIF(HRDataset_clean[[#This Row],[DateofHire]], IF(HRDataset_clean[[#This Row],[DateofTermination]]="", TODAY(),HRDataset_clean[[#This Row],[DateofTermination]]),"Y")</f>
        <v>3</v>
      </c>
    </row>
    <row r="300" spans="1:16" x14ac:dyDescent="0.35">
      <c r="A300" t="s">
        <v>707</v>
      </c>
      <c r="B300">
        <v>10172</v>
      </c>
      <c r="C300">
        <v>1</v>
      </c>
      <c r="D300" s="2">
        <v>84903</v>
      </c>
      <c r="E300" s="3" t="s">
        <v>564</v>
      </c>
      <c r="F300" s="1">
        <v>29775</v>
      </c>
      <c r="G300" t="s">
        <v>328</v>
      </c>
      <c r="H300" t="s">
        <v>329</v>
      </c>
      <c r="I300" s="1">
        <v>42781</v>
      </c>
      <c r="K300" t="s">
        <v>330</v>
      </c>
      <c r="L300" t="s">
        <v>331</v>
      </c>
      <c r="M300" t="s">
        <v>338</v>
      </c>
      <c r="N300" t="s">
        <v>459</v>
      </c>
      <c r="O300">
        <f ca="1">DATEDIF(HRDataset_clean[[#This Row],[DOB]], TODAY(), "Y")</f>
        <v>44</v>
      </c>
      <c r="P300">
        <f ca="1">DATEDIF(HRDataset_clean[[#This Row],[DateofHire]], IF(HRDataset_clean[[#This Row],[DateofTermination]]="", TODAY(),HRDataset_clean[[#This Row],[DateofTermination]]),"Y")</f>
        <v>8</v>
      </c>
    </row>
    <row r="301" spans="1:16" x14ac:dyDescent="0.35">
      <c r="A301" t="s">
        <v>708</v>
      </c>
      <c r="B301">
        <v>10127</v>
      </c>
      <c r="C301">
        <v>0</v>
      </c>
      <c r="D301" s="2">
        <v>107226</v>
      </c>
      <c r="E301" s="3" t="s">
        <v>443</v>
      </c>
      <c r="F301" s="1">
        <v>28612</v>
      </c>
      <c r="G301" t="s">
        <v>342</v>
      </c>
      <c r="H301" t="s">
        <v>329</v>
      </c>
      <c r="I301" s="1">
        <v>42093</v>
      </c>
      <c r="K301" t="s">
        <v>330</v>
      </c>
      <c r="L301" t="s">
        <v>331</v>
      </c>
      <c r="M301" t="s">
        <v>338</v>
      </c>
      <c r="N301" t="s">
        <v>362</v>
      </c>
      <c r="O301">
        <f ca="1">DATEDIF(HRDataset_clean[[#This Row],[DOB]], TODAY(), "Y")</f>
        <v>47</v>
      </c>
      <c r="P301">
        <f ca="1">DATEDIF(HRDataset_clean[[#This Row],[DateofHire]], IF(HRDataset_clean[[#This Row],[DateofTermination]]="", TODAY(),HRDataset_clean[[#This Row],[DateofTermination]]),"Y")</f>
        <v>10</v>
      </c>
    </row>
    <row r="302" spans="1:16" x14ac:dyDescent="0.35">
      <c r="A302" t="s">
        <v>709</v>
      </c>
      <c r="B302">
        <v>10072</v>
      </c>
      <c r="C302">
        <v>1</v>
      </c>
      <c r="D302" s="2">
        <v>58371</v>
      </c>
      <c r="E302" s="3" t="s">
        <v>327</v>
      </c>
      <c r="F302" s="1">
        <v>31921</v>
      </c>
      <c r="G302" t="s">
        <v>328</v>
      </c>
      <c r="H302" t="s">
        <v>329</v>
      </c>
      <c r="I302" s="1">
        <v>40553</v>
      </c>
      <c r="J302" s="1">
        <v>41774</v>
      </c>
      <c r="K302" t="s">
        <v>343</v>
      </c>
      <c r="L302" t="s">
        <v>337</v>
      </c>
      <c r="M302" t="s">
        <v>332</v>
      </c>
      <c r="N302" t="s">
        <v>349</v>
      </c>
      <c r="O302">
        <f ca="1">DATEDIF(HRDataset_clean[[#This Row],[DOB]], TODAY(), "Y")</f>
        <v>38</v>
      </c>
      <c r="P302">
        <f ca="1">DATEDIF(HRDataset_clean[[#This Row],[DateofHire]], IF(HRDataset_clean[[#This Row],[DateofTermination]]="", TODAY(),HRDataset_clean[[#This Row],[DateofTermination]]),"Y")</f>
        <v>3</v>
      </c>
    </row>
    <row r="303" spans="1:16" x14ac:dyDescent="0.35">
      <c r="A303" t="s">
        <v>710</v>
      </c>
      <c r="B303">
        <v>10048</v>
      </c>
      <c r="C303">
        <v>1</v>
      </c>
      <c r="D303" s="2">
        <v>55140</v>
      </c>
      <c r="E303" s="3" t="s">
        <v>327</v>
      </c>
      <c r="F303" s="1">
        <v>23994</v>
      </c>
      <c r="G303" t="s">
        <v>328</v>
      </c>
      <c r="H303" t="s">
        <v>378</v>
      </c>
      <c r="I303" s="1">
        <v>40679</v>
      </c>
      <c r="J303" s="1">
        <v>42254</v>
      </c>
      <c r="K303" t="s">
        <v>367</v>
      </c>
      <c r="L303" t="s">
        <v>337</v>
      </c>
      <c r="M303" t="s">
        <v>332</v>
      </c>
      <c r="N303" t="s">
        <v>351</v>
      </c>
      <c r="O303">
        <f ca="1">DATEDIF(HRDataset_clean[[#This Row],[DOB]], TODAY(), "Y")</f>
        <v>60</v>
      </c>
      <c r="P303">
        <f ca="1">DATEDIF(HRDataset_clean[[#This Row],[DateofHire]], IF(HRDataset_clean[[#This Row],[DateofTermination]]="", TODAY(),HRDataset_clean[[#This Row],[DateofTermination]]),"Y")</f>
        <v>4</v>
      </c>
    </row>
    <row r="304" spans="1:16" x14ac:dyDescent="0.35">
      <c r="A304" t="s">
        <v>711</v>
      </c>
      <c r="B304">
        <v>10204</v>
      </c>
      <c r="C304">
        <v>0</v>
      </c>
      <c r="D304" s="2">
        <v>58062</v>
      </c>
      <c r="E304" s="3" t="s">
        <v>327</v>
      </c>
      <c r="F304" s="1">
        <v>30527</v>
      </c>
      <c r="G304" t="s">
        <v>342</v>
      </c>
      <c r="H304" t="s">
        <v>329</v>
      </c>
      <c r="I304" s="1">
        <v>40553</v>
      </c>
      <c r="J304" s="1">
        <v>41043</v>
      </c>
      <c r="K304" t="s">
        <v>364</v>
      </c>
      <c r="L304" t="s">
        <v>337</v>
      </c>
      <c r="M304" t="s">
        <v>332</v>
      </c>
      <c r="N304" t="s">
        <v>357</v>
      </c>
      <c r="O304">
        <f ca="1">DATEDIF(HRDataset_clean[[#This Row],[DOB]], TODAY(), "Y")</f>
        <v>42</v>
      </c>
      <c r="P304">
        <f ca="1">DATEDIF(HRDataset_clean[[#This Row],[DateofHire]], IF(HRDataset_clean[[#This Row],[DateofTermination]]="", TODAY(),HRDataset_clean[[#This Row],[DateofTermination]]),"Y")</f>
        <v>1</v>
      </c>
    </row>
    <row r="305" spans="1:16" x14ac:dyDescent="0.35">
      <c r="A305" t="s">
        <v>712</v>
      </c>
      <c r="B305">
        <v>10264</v>
      </c>
      <c r="C305">
        <v>0</v>
      </c>
      <c r="D305" s="2">
        <v>59728</v>
      </c>
      <c r="E305" s="3" t="s">
        <v>327</v>
      </c>
      <c r="F305" s="1">
        <v>25478</v>
      </c>
      <c r="G305" t="s">
        <v>342</v>
      </c>
      <c r="H305" t="s">
        <v>329</v>
      </c>
      <c r="I305" s="1">
        <v>40917</v>
      </c>
      <c r="J305" s="1">
        <v>42182</v>
      </c>
      <c r="K305" t="s">
        <v>426</v>
      </c>
      <c r="L305" t="s">
        <v>337</v>
      </c>
      <c r="M305" t="s">
        <v>332</v>
      </c>
      <c r="N305" t="s">
        <v>357</v>
      </c>
      <c r="O305">
        <f ca="1">DATEDIF(HRDataset_clean[[#This Row],[DOB]], TODAY(), "Y")</f>
        <v>56</v>
      </c>
      <c r="P305">
        <f ca="1">DATEDIF(HRDataset_clean[[#This Row],[DateofHire]], IF(HRDataset_clean[[#This Row],[DateofTermination]]="", TODAY(),HRDataset_clean[[#This Row],[DateofTermination]]),"Y")</f>
        <v>3</v>
      </c>
    </row>
    <row r="306" spans="1:16" x14ac:dyDescent="0.35">
      <c r="A306" t="s">
        <v>713</v>
      </c>
      <c r="B306">
        <v>10033</v>
      </c>
      <c r="C306">
        <v>1</v>
      </c>
      <c r="D306" s="2">
        <v>70507</v>
      </c>
      <c r="E306" s="3" t="s">
        <v>341</v>
      </c>
      <c r="F306" s="1">
        <v>21496</v>
      </c>
      <c r="G306" t="s">
        <v>328</v>
      </c>
      <c r="H306" t="s">
        <v>329</v>
      </c>
      <c r="I306" s="1">
        <v>41281</v>
      </c>
      <c r="J306" s="1">
        <v>42421</v>
      </c>
      <c r="K306" t="s">
        <v>397</v>
      </c>
      <c r="L306" t="s">
        <v>337</v>
      </c>
      <c r="M306" t="s">
        <v>332</v>
      </c>
      <c r="N306" t="s">
        <v>359</v>
      </c>
      <c r="O306">
        <f ca="1">DATEDIF(HRDataset_clean[[#This Row],[DOB]], TODAY(), "Y")</f>
        <v>67</v>
      </c>
      <c r="P306">
        <f ca="1">DATEDIF(HRDataset_clean[[#This Row],[DateofHire]], IF(HRDataset_clean[[#This Row],[DateofTermination]]="", TODAY(),HRDataset_clean[[#This Row],[DateofTermination]]),"Y")</f>
        <v>3</v>
      </c>
    </row>
    <row r="307" spans="1:16" x14ac:dyDescent="0.35">
      <c r="A307" t="s">
        <v>714</v>
      </c>
      <c r="B307">
        <v>10174</v>
      </c>
      <c r="C307">
        <v>0</v>
      </c>
      <c r="D307" s="2">
        <v>60446</v>
      </c>
      <c r="E307" s="3" t="s">
        <v>341</v>
      </c>
      <c r="F307" s="1">
        <v>31157</v>
      </c>
      <c r="G307" t="s">
        <v>342</v>
      </c>
      <c r="H307" t="s">
        <v>329</v>
      </c>
      <c r="I307" s="1">
        <v>41911</v>
      </c>
      <c r="K307" t="s">
        <v>330</v>
      </c>
      <c r="L307" t="s">
        <v>331</v>
      </c>
      <c r="M307" t="s">
        <v>332</v>
      </c>
      <c r="N307" t="s">
        <v>365</v>
      </c>
      <c r="O307">
        <f ca="1">DATEDIF(HRDataset_clean[[#This Row],[DOB]], TODAY(), "Y")</f>
        <v>40</v>
      </c>
      <c r="P307">
        <f ca="1">DATEDIF(HRDataset_clean[[#This Row],[DateofHire]], IF(HRDataset_clean[[#This Row],[DateofTermination]]="", TODAY(),HRDataset_clean[[#This Row],[DateofTermination]]),"Y")</f>
        <v>11</v>
      </c>
    </row>
    <row r="308" spans="1:16" x14ac:dyDescent="0.35">
      <c r="A308" t="s">
        <v>715</v>
      </c>
      <c r="B308">
        <v>10135</v>
      </c>
      <c r="C308">
        <v>1</v>
      </c>
      <c r="D308" s="2">
        <v>65893</v>
      </c>
      <c r="E308" s="3" t="s">
        <v>341</v>
      </c>
      <c r="F308" s="1">
        <v>31178</v>
      </c>
      <c r="G308" t="s">
        <v>328</v>
      </c>
      <c r="H308" t="s">
        <v>329</v>
      </c>
      <c r="I308" s="1">
        <v>41827</v>
      </c>
      <c r="K308" t="s">
        <v>330</v>
      </c>
      <c r="L308" t="s">
        <v>331</v>
      </c>
      <c r="M308" t="s">
        <v>332</v>
      </c>
      <c r="N308" t="s">
        <v>344</v>
      </c>
      <c r="O308">
        <f ca="1">DATEDIF(HRDataset_clean[[#This Row],[DOB]], TODAY(), "Y")</f>
        <v>40</v>
      </c>
      <c r="P308">
        <f ca="1">DATEDIF(HRDataset_clean[[#This Row],[DateofHire]], IF(HRDataset_clean[[#This Row],[DateofTermination]]="", TODAY(),HRDataset_clean[[#This Row],[DateofTermination]]),"Y")</f>
        <v>11</v>
      </c>
    </row>
    <row r="309" spans="1:16" x14ac:dyDescent="0.35">
      <c r="A309" t="s">
        <v>716</v>
      </c>
      <c r="B309">
        <v>10301</v>
      </c>
      <c r="C309">
        <v>0</v>
      </c>
      <c r="D309" s="2">
        <v>48513</v>
      </c>
      <c r="E309" s="3" t="s">
        <v>327</v>
      </c>
      <c r="F309" s="1">
        <v>30075</v>
      </c>
      <c r="G309" t="s">
        <v>342</v>
      </c>
      <c r="H309" t="s">
        <v>329</v>
      </c>
      <c r="I309" s="1">
        <v>39693</v>
      </c>
      <c r="J309" s="1">
        <v>42276</v>
      </c>
      <c r="K309" t="s">
        <v>364</v>
      </c>
      <c r="L309" t="s">
        <v>337</v>
      </c>
      <c r="M309" t="s">
        <v>332</v>
      </c>
      <c r="N309" t="s">
        <v>359</v>
      </c>
      <c r="O309">
        <f ca="1">DATEDIF(HRDataset_clean[[#This Row],[DOB]], TODAY(), "Y")</f>
        <v>43</v>
      </c>
      <c r="P309">
        <f ca="1">DATEDIF(HRDataset_clean[[#This Row],[DateofHire]], IF(HRDataset_clean[[#This Row],[DateofTermination]]="", TODAY(),HRDataset_clean[[#This Row],[DateofTermination]]),"Y")</f>
        <v>7</v>
      </c>
    </row>
    <row r="310" spans="1:16" x14ac:dyDescent="0.35">
      <c r="A310" t="s">
        <v>717</v>
      </c>
      <c r="B310">
        <v>10010</v>
      </c>
      <c r="C310">
        <v>0</v>
      </c>
      <c r="D310" s="2">
        <v>220450</v>
      </c>
      <c r="E310" s="3" t="s">
        <v>718</v>
      </c>
      <c r="F310" s="1">
        <v>29097</v>
      </c>
      <c r="G310" t="s">
        <v>342</v>
      </c>
      <c r="H310" t="s">
        <v>329</v>
      </c>
      <c r="I310" s="1">
        <v>40278</v>
      </c>
      <c r="K310" t="s">
        <v>330</v>
      </c>
      <c r="L310" t="s">
        <v>331</v>
      </c>
      <c r="M310" t="s">
        <v>338</v>
      </c>
      <c r="N310" t="s">
        <v>398</v>
      </c>
      <c r="O310">
        <f ca="1">DATEDIF(HRDataset_clean[[#This Row],[DOB]], TODAY(), "Y")</f>
        <v>46</v>
      </c>
      <c r="P310">
        <f ca="1">DATEDIF(HRDataset_clean[[#This Row],[DateofHire]], IF(HRDataset_clean[[#This Row],[DateofTermination]]="", TODAY(),HRDataset_clean[[#This Row],[DateofTermination]]),"Y")</f>
        <v>15</v>
      </c>
    </row>
    <row r="311" spans="1:16" x14ac:dyDescent="0.35">
      <c r="A311" t="s">
        <v>719</v>
      </c>
      <c r="B311">
        <v>10043</v>
      </c>
      <c r="C311">
        <v>0</v>
      </c>
      <c r="D311" s="2">
        <v>89292</v>
      </c>
      <c r="E311" s="3" t="s">
        <v>369</v>
      </c>
      <c r="F311" s="1">
        <v>28910</v>
      </c>
      <c r="G311" t="s">
        <v>342</v>
      </c>
      <c r="H311" t="s">
        <v>329</v>
      </c>
      <c r="I311" s="1">
        <v>42093</v>
      </c>
      <c r="K311" t="s">
        <v>330</v>
      </c>
      <c r="L311" t="s">
        <v>331</v>
      </c>
      <c r="M311" t="s">
        <v>338</v>
      </c>
      <c r="N311" t="s">
        <v>339</v>
      </c>
      <c r="O311">
        <f ca="1">DATEDIF(HRDataset_clean[[#This Row],[DOB]], TODAY(), "Y")</f>
        <v>46</v>
      </c>
      <c r="P311">
        <f ca="1">DATEDIF(HRDataset_clean[[#This Row],[DateofHire]], IF(HRDataset_clean[[#This Row],[DateofTermination]]="", TODAY(),HRDataset_clean[[#This Row],[DateofTermination]]),"Y")</f>
        <v>10</v>
      </c>
    </row>
    <row r="312" spans="1:16" x14ac:dyDescent="0.35">
      <c r="A312" t="s">
        <v>720</v>
      </c>
      <c r="B312">
        <v>10271</v>
      </c>
      <c r="C312">
        <v>0</v>
      </c>
      <c r="D312" s="2">
        <v>45046</v>
      </c>
      <c r="E312" s="3" t="s">
        <v>327</v>
      </c>
      <c r="F312" s="1">
        <v>28719</v>
      </c>
      <c r="G312" t="s">
        <v>342</v>
      </c>
      <c r="H312" t="s">
        <v>329</v>
      </c>
      <c r="I312" s="1">
        <v>41911</v>
      </c>
      <c r="K312" t="s">
        <v>330</v>
      </c>
      <c r="L312" t="s">
        <v>331</v>
      </c>
      <c r="M312" t="s">
        <v>332</v>
      </c>
      <c r="N312" t="s">
        <v>365</v>
      </c>
      <c r="O312">
        <f ca="1">DATEDIF(HRDataset_clean[[#This Row],[DOB]], TODAY(), "Y")</f>
        <v>47</v>
      </c>
      <c r="P312">
        <f ca="1">DATEDIF(HRDataset_clean[[#This Row],[DateofHire]], IF(HRDataset_clean[[#This Row],[DateofTermination]]="", TODAY(),HRDataset_clean[[#This Row],[DateofTermination]]),"Y")</f>
        <v>11</v>
      </c>
    </row>
    <row r="313" spans="1:16" s="4" customFormat="1" x14ac:dyDescent="0.35">
      <c r="A313" s="4" t="s">
        <v>721</v>
      </c>
      <c r="D313" s="6">
        <f>SUBTOTAL(101,HRDataset_clean[Salary])</f>
        <v>69020.684887459807</v>
      </c>
      <c r="E313" s="5"/>
      <c r="L313" s="4">
        <f>SUBTOTAL(103,HRDataset_clean[EmploymentStatus])</f>
        <v>311</v>
      </c>
      <c r="N313" s="4">
        <f>SUBTOTAL(103,HRDataset_clean[ManagerName])</f>
        <v>311</v>
      </c>
      <c r="O313" s="7">
        <f ca="1">SUBTOTAL(101,HRDataset_clean[Age])</f>
        <v>46.389067524115752</v>
      </c>
      <c r="P313" s="7">
        <f ca="1">SUBTOTAL(101,HRDataset_clean[Experience])</f>
        <v>8.8617363344051441</v>
      </c>
    </row>
  </sheetData>
  <conditionalFormatting sqref="B1:B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B79FC-3D38-4439-81DE-E0963891CD7B}">
  <dimension ref="A1:F30"/>
  <sheetViews>
    <sheetView topLeftCell="A12" zoomScaleNormal="100" workbookViewId="0">
      <selection activeCell="C32" sqref="C32"/>
    </sheetView>
  </sheetViews>
  <sheetFormatPr defaultRowHeight="14.5" x14ac:dyDescent="0.35"/>
  <cols>
    <col min="1" max="1" width="22.453125" bestFit="1" customWidth="1"/>
    <col min="2" max="2" width="26.54296875" bestFit="1" customWidth="1"/>
  </cols>
  <sheetData>
    <row r="1" spans="1:6" ht="18.5" x14ac:dyDescent="0.45">
      <c r="A1" s="11" t="s">
        <v>726</v>
      </c>
      <c r="B1" s="12"/>
      <c r="C1" s="12"/>
      <c r="D1" s="12"/>
      <c r="E1" s="10"/>
      <c r="F1" s="10"/>
    </row>
    <row r="3" spans="1:6" x14ac:dyDescent="0.35">
      <c r="A3" s="8" t="s">
        <v>324</v>
      </c>
      <c r="B3" t="s">
        <v>725</v>
      </c>
    </row>
    <row r="4" spans="1:6" x14ac:dyDescent="0.35">
      <c r="A4" s="3" t="s">
        <v>332</v>
      </c>
      <c r="B4">
        <v>209</v>
      </c>
    </row>
    <row r="5" spans="1:6" x14ac:dyDescent="0.35">
      <c r="A5" s="9" t="s">
        <v>331</v>
      </c>
      <c r="B5">
        <v>126</v>
      </c>
    </row>
    <row r="6" spans="1:6" x14ac:dyDescent="0.35">
      <c r="A6" s="9" t="s">
        <v>375</v>
      </c>
      <c r="B6">
        <v>8</v>
      </c>
    </row>
    <row r="7" spans="1:6" x14ac:dyDescent="0.35">
      <c r="A7" s="9" t="s">
        <v>337</v>
      </c>
      <c r="B7">
        <v>75</v>
      </c>
    </row>
    <row r="8" spans="1:6" x14ac:dyDescent="0.35">
      <c r="A8" s="3" t="s">
        <v>338</v>
      </c>
      <c r="B8">
        <v>50</v>
      </c>
    </row>
    <row r="9" spans="1:6" x14ac:dyDescent="0.35">
      <c r="A9" s="9" t="s">
        <v>331</v>
      </c>
      <c r="B9">
        <v>40</v>
      </c>
    </row>
    <row r="10" spans="1:6" x14ac:dyDescent="0.35">
      <c r="A10" s="9" t="s">
        <v>375</v>
      </c>
      <c r="B10">
        <v>4</v>
      </c>
    </row>
    <row r="11" spans="1:6" x14ac:dyDescent="0.35">
      <c r="A11" s="9" t="s">
        <v>337</v>
      </c>
      <c r="B11">
        <v>6</v>
      </c>
    </row>
    <row r="12" spans="1:6" x14ac:dyDescent="0.35">
      <c r="A12" s="3" t="s">
        <v>406</v>
      </c>
      <c r="B12">
        <v>31</v>
      </c>
    </row>
    <row r="13" spans="1:6" x14ac:dyDescent="0.35">
      <c r="A13" s="9" t="s">
        <v>331</v>
      </c>
      <c r="B13">
        <v>26</v>
      </c>
    </row>
    <row r="14" spans="1:6" x14ac:dyDescent="0.35">
      <c r="A14" s="9" t="s">
        <v>375</v>
      </c>
      <c r="B14">
        <v>2</v>
      </c>
    </row>
    <row r="15" spans="1:6" x14ac:dyDescent="0.35">
      <c r="A15" s="9" t="s">
        <v>337</v>
      </c>
      <c r="B15">
        <v>3</v>
      </c>
    </row>
    <row r="16" spans="1:6" x14ac:dyDescent="0.35">
      <c r="A16" s="3" t="s">
        <v>354</v>
      </c>
      <c r="B16">
        <v>11</v>
      </c>
    </row>
    <row r="17" spans="1:6" x14ac:dyDescent="0.35">
      <c r="A17" s="9" t="s">
        <v>331</v>
      </c>
      <c r="B17">
        <v>7</v>
      </c>
    </row>
    <row r="18" spans="1:6" x14ac:dyDescent="0.35">
      <c r="A18" s="9" t="s">
        <v>375</v>
      </c>
      <c r="B18">
        <v>1</v>
      </c>
    </row>
    <row r="19" spans="1:6" x14ac:dyDescent="0.35">
      <c r="A19" s="9" t="s">
        <v>337</v>
      </c>
      <c r="B19">
        <v>3</v>
      </c>
    </row>
    <row r="20" spans="1:6" x14ac:dyDescent="0.35">
      <c r="A20" s="3" t="s">
        <v>393</v>
      </c>
      <c r="B20">
        <v>9</v>
      </c>
    </row>
    <row r="21" spans="1:6" x14ac:dyDescent="0.35">
      <c r="A21" s="9" t="s">
        <v>331</v>
      </c>
      <c r="B21">
        <v>7</v>
      </c>
    </row>
    <row r="22" spans="1:6" x14ac:dyDescent="0.35">
      <c r="A22" s="9" t="s">
        <v>375</v>
      </c>
      <c r="B22">
        <v>1</v>
      </c>
    </row>
    <row r="23" spans="1:6" x14ac:dyDescent="0.35">
      <c r="A23" s="9" t="s">
        <v>337</v>
      </c>
      <c r="B23">
        <v>1</v>
      </c>
    </row>
    <row r="24" spans="1:6" x14ac:dyDescent="0.35">
      <c r="A24" s="3" t="s">
        <v>551</v>
      </c>
      <c r="B24">
        <v>1</v>
      </c>
    </row>
    <row r="25" spans="1:6" x14ac:dyDescent="0.35">
      <c r="A25" s="9" t="s">
        <v>331</v>
      </c>
      <c r="B25">
        <v>1</v>
      </c>
    </row>
    <row r="26" spans="1:6" x14ac:dyDescent="0.35">
      <c r="A26" s="3" t="s">
        <v>724</v>
      </c>
      <c r="B26">
        <v>311</v>
      </c>
    </row>
    <row r="29" spans="1:6" ht="18.5" x14ac:dyDescent="0.45">
      <c r="A29" s="11" t="s">
        <v>745</v>
      </c>
      <c r="B29" s="10"/>
      <c r="C29" s="10"/>
      <c r="D29" s="10"/>
      <c r="E29" s="10"/>
      <c r="F29" s="10"/>
    </row>
    <row r="30" spans="1:6" x14ac:dyDescent="0.35">
      <c r="A30" s="20">
        <f>HRDataset_clean[[#Totals],[EmploymentStatus]] - (COUNTIF(HRDataset_clean[EmploymentStatus],"Active"))</f>
        <v>104</v>
      </c>
      <c r="B30" s="19">
        <f>(104/311)</f>
        <v>0.33440514469453375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9A5C-F3D5-495C-B8E0-9A4F69F2AB21}">
  <dimension ref="A1:C12"/>
  <sheetViews>
    <sheetView workbookViewId="0"/>
  </sheetViews>
  <sheetFormatPr defaultRowHeight="14.5" x14ac:dyDescent="0.35"/>
  <cols>
    <col min="1" max="1" width="26.6328125" bestFit="1" customWidth="1"/>
    <col min="2" max="2" width="26.54296875" bestFit="1" customWidth="1"/>
  </cols>
  <sheetData>
    <row r="1" spans="1:3" ht="18.5" x14ac:dyDescent="0.45">
      <c r="A1" s="11" t="s">
        <v>728</v>
      </c>
      <c r="B1" s="10"/>
      <c r="C1" s="10"/>
    </row>
    <row r="3" spans="1:3" x14ac:dyDescent="0.35">
      <c r="A3" s="8" t="s">
        <v>727</v>
      </c>
      <c r="B3" t="s">
        <v>725</v>
      </c>
    </row>
    <row r="4" spans="1:3" x14ac:dyDescent="0.35">
      <c r="A4" s="3" t="s">
        <v>342</v>
      </c>
      <c r="B4">
        <v>176</v>
      </c>
    </row>
    <row r="5" spans="1:3" x14ac:dyDescent="0.35">
      <c r="A5" s="9" t="s">
        <v>331</v>
      </c>
      <c r="B5">
        <v>116</v>
      </c>
    </row>
    <row r="6" spans="1:3" x14ac:dyDescent="0.35">
      <c r="A6" s="9" t="s">
        <v>375</v>
      </c>
      <c r="B6">
        <v>9</v>
      </c>
    </row>
    <row r="7" spans="1:3" x14ac:dyDescent="0.35">
      <c r="A7" s="9" t="s">
        <v>337</v>
      </c>
      <c r="B7">
        <v>51</v>
      </c>
    </row>
    <row r="8" spans="1:3" x14ac:dyDescent="0.35">
      <c r="A8" s="3" t="s">
        <v>328</v>
      </c>
      <c r="B8">
        <v>135</v>
      </c>
    </row>
    <row r="9" spans="1:3" x14ac:dyDescent="0.35">
      <c r="A9" s="9" t="s">
        <v>331</v>
      </c>
      <c r="B9">
        <v>91</v>
      </c>
    </row>
    <row r="10" spans="1:3" x14ac:dyDescent="0.35">
      <c r="A10" s="9" t="s">
        <v>375</v>
      </c>
      <c r="B10">
        <v>7</v>
      </c>
    </row>
    <row r="11" spans="1:3" x14ac:dyDescent="0.35">
      <c r="A11" s="9" t="s">
        <v>337</v>
      </c>
      <c r="B11">
        <v>37</v>
      </c>
    </row>
    <row r="12" spans="1:3" x14ac:dyDescent="0.35">
      <c r="A12" s="3" t="s">
        <v>724</v>
      </c>
      <c r="B12">
        <v>311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7C527-6DB8-4487-8FC3-B0D67CA75A59}">
  <dimension ref="A1:E7"/>
  <sheetViews>
    <sheetView workbookViewId="0">
      <selection activeCell="B15" sqref="B15"/>
    </sheetView>
  </sheetViews>
  <sheetFormatPr defaultRowHeight="14.5" x14ac:dyDescent="0.35"/>
  <cols>
    <col min="1" max="2" width="19.54296875" bestFit="1" customWidth="1"/>
  </cols>
  <sheetData>
    <row r="1" spans="1:5" ht="18.5" x14ac:dyDescent="0.45">
      <c r="A1" s="11" t="s">
        <v>731</v>
      </c>
      <c r="B1" s="10"/>
      <c r="C1" s="10"/>
      <c r="D1" s="10"/>
      <c r="E1" s="10"/>
    </row>
    <row r="3" spans="1:5" x14ac:dyDescent="0.35">
      <c r="A3" s="8" t="s">
        <v>730</v>
      </c>
      <c r="B3" t="s">
        <v>729</v>
      </c>
    </row>
    <row r="4" spans="1:5" x14ac:dyDescent="0.35">
      <c r="A4" s="3" t="s">
        <v>331</v>
      </c>
      <c r="B4" s="13">
        <v>11.768115942028986</v>
      </c>
    </row>
    <row r="5" spans="1:5" x14ac:dyDescent="0.35">
      <c r="A5" s="3" t="s">
        <v>375</v>
      </c>
      <c r="B5" s="13">
        <v>3.0625</v>
      </c>
    </row>
    <row r="6" spans="1:5" x14ac:dyDescent="0.35">
      <c r="A6" s="3" t="s">
        <v>337</v>
      </c>
      <c r="B6" s="13">
        <v>3.0795454545454546</v>
      </c>
    </row>
    <row r="7" spans="1:5" x14ac:dyDescent="0.35">
      <c r="A7" s="3" t="s">
        <v>724</v>
      </c>
      <c r="B7" s="13">
        <v>8.8617363344051441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B752-E64F-4D4F-A5F6-F83CF7389B11}">
  <dimension ref="A1:D6"/>
  <sheetViews>
    <sheetView workbookViewId="0">
      <selection activeCell="E17" sqref="E17"/>
    </sheetView>
  </sheetViews>
  <sheetFormatPr defaultRowHeight="14.5" x14ac:dyDescent="0.35"/>
  <cols>
    <col min="1" max="1" width="18.36328125" bestFit="1" customWidth="1"/>
    <col min="2" max="2" width="15.36328125" bestFit="1" customWidth="1"/>
    <col min="3" max="3" width="15.6328125" customWidth="1"/>
  </cols>
  <sheetData>
    <row r="1" spans="1:4" ht="18.5" x14ac:dyDescent="0.45">
      <c r="A1" s="11" t="s">
        <v>735</v>
      </c>
      <c r="B1" s="10"/>
      <c r="C1" s="10"/>
      <c r="D1" s="10"/>
    </row>
    <row r="3" spans="1:4" x14ac:dyDescent="0.35">
      <c r="A3" s="8" t="s">
        <v>733</v>
      </c>
      <c r="B3" t="s">
        <v>732</v>
      </c>
      <c r="C3" s="14" t="s">
        <v>734</v>
      </c>
    </row>
    <row r="4" spans="1:4" x14ac:dyDescent="0.35">
      <c r="A4" s="3" t="s">
        <v>342</v>
      </c>
      <c r="B4" s="15">
        <v>67786.727272727279</v>
      </c>
      <c r="C4" s="15" cm="1">
        <f t="array" ref="C4">MEDIAN(IF(HRDataset_clean[Sex]="F", HRDataset_clean[Salary], ""))</f>
        <v>62066.5</v>
      </c>
    </row>
    <row r="5" spans="1:4" x14ac:dyDescent="0.35">
      <c r="A5" s="3" t="s">
        <v>328</v>
      </c>
      <c r="B5" s="15">
        <v>70629.399999999994</v>
      </c>
      <c r="C5" cm="1">
        <f t="array" ref="C5">MEDIAN(IF(TRIM(SUBSTITUTE(HRDataset_clean[Sex],CHAR(160),""))="M",HRDataset_clean[Salary],""))</f>
        <v>63353</v>
      </c>
    </row>
    <row r="6" spans="1:4" x14ac:dyDescent="0.35">
      <c r="A6" s="3" t="s">
        <v>724</v>
      </c>
      <c r="B6" s="15">
        <v>69020.684887459807</v>
      </c>
      <c r="C6" s="16">
        <f>MEDIAN(HRDataset_clean[Salary])</f>
        <v>62810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C3E72-ECDE-4205-8485-68AFDC3AF2A3}">
  <dimension ref="A1:E10"/>
  <sheetViews>
    <sheetView topLeftCell="B1" workbookViewId="0">
      <selection activeCell="F22" sqref="F22"/>
    </sheetView>
  </sheetViews>
  <sheetFormatPr defaultRowHeight="14.5" x14ac:dyDescent="0.35"/>
  <cols>
    <col min="1" max="1" width="18.36328125" bestFit="1" customWidth="1"/>
    <col min="2" max="2" width="15.36328125" bestFit="1" customWidth="1"/>
    <col min="3" max="3" width="17.26953125" bestFit="1" customWidth="1"/>
  </cols>
  <sheetData>
    <row r="1" spans="1:5" ht="18.5" x14ac:dyDescent="0.45">
      <c r="A1" s="11" t="s">
        <v>737</v>
      </c>
      <c r="B1" s="10"/>
      <c r="C1" s="10"/>
      <c r="D1" s="10"/>
      <c r="E1" s="10"/>
    </row>
    <row r="3" spans="1:5" x14ac:dyDescent="0.35">
      <c r="A3" s="8" t="s">
        <v>324</v>
      </c>
      <c r="B3" t="s">
        <v>732</v>
      </c>
      <c r="C3" t="s">
        <v>736</v>
      </c>
    </row>
    <row r="4" spans="1:5" x14ac:dyDescent="0.35">
      <c r="A4" s="3" t="s">
        <v>551</v>
      </c>
      <c r="B4" s="15">
        <v>250000</v>
      </c>
      <c r="C4">
        <v>1</v>
      </c>
    </row>
    <row r="5" spans="1:5" x14ac:dyDescent="0.35">
      <c r="A5" s="3" t="s">
        <v>338</v>
      </c>
      <c r="B5" s="15">
        <v>97064.639999999999</v>
      </c>
      <c r="C5">
        <v>50</v>
      </c>
    </row>
    <row r="6" spans="1:5" x14ac:dyDescent="0.35">
      <c r="A6" s="3" t="s">
        <v>354</v>
      </c>
      <c r="B6" s="15">
        <v>94989.454545454544</v>
      </c>
      <c r="C6">
        <v>11</v>
      </c>
    </row>
    <row r="7" spans="1:5" x14ac:dyDescent="0.35">
      <c r="A7" s="3" t="s">
        <v>393</v>
      </c>
      <c r="B7" s="15">
        <v>71791.888888888891</v>
      </c>
      <c r="C7">
        <v>9</v>
      </c>
    </row>
    <row r="8" spans="1:5" x14ac:dyDescent="0.35">
      <c r="A8" s="3" t="s">
        <v>406</v>
      </c>
      <c r="B8" s="15">
        <v>69061.258064516136</v>
      </c>
      <c r="C8">
        <v>31</v>
      </c>
    </row>
    <row r="9" spans="1:5" x14ac:dyDescent="0.35">
      <c r="A9" s="3" t="s">
        <v>332</v>
      </c>
      <c r="B9" s="15">
        <v>59953.545454545456</v>
      </c>
      <c r="C9">
        <v>209</v>
      </c>
    </row>
    <row r="10" spans="1:5" x14ac:dyDescent="0.35">
      <c r="A10" s="3" t="s">
        <v>724</v>
      </c>
      <c r="B10" s="15">
        <v>69020.684887459807</v>
      </c>
      <c r="C10">
        <v>311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E133-0E77-4FD6-9DF4-4B3BC0531991}">
  <dimension ref="A1:B42"/>
  <sheetViews>
    <sheetView workbookViewId="0">
      <selection activeCell="M16" sqref="M16"/>
    </sheetView>
  </sheetViews>
  <sheetFormatPr defaultRowHeight="14.5" x14ac:dyDescent="0.35"/>
  <cols>
    <col min="1" max="1" width="18.36328125" bestFit="1" customWidth="1"/>
    <col min="2" max="2" width="15.36328125" bestFit="1" customWidth="1"/>
    <col min="3" max="3" width="12.08984375" bestFit="1" customWidth="1"/>
  </cols>
  <sheetData>
    <row r="1" spans="1:2" ht="18.5" x14ac:dyDescent="0.45">
      <c r="A1" s="11" t="s">
        <v>738</v>
      </c>
      <c r="B1" s="10"/>
    </row>
    <row r="3" spans="1:2" x14ac:dyDescent="0.35">
      <c r="A3" s="8" t="s">
        <v>722</v>
      </c>
      <c r="B3" t="s">
        <v>732</v>
      </c>
    </row>
    <row r="4" spans="1:2" x14ac:dyDescent="0.35">
      <c r="A4" s="3">
        <v>33</v>
      </c>
      <c r="B4" s="15">
        <v>58740</v>
      </c>
    </row>
    <row r="5" spans="1:2" x14ac:dyDescent="0.35">
      <c r="A5" s="3">
        <v>34</v>
      </c>
      <c r="B5" s="15">
        <v>56612.333333333336</v>
      </c>
    </row>
    <row r="6" spans="1:2" x14ac:dyDescent="0.35">
      <c r="A6" s="3">
        <v>35</v>
      </c>
      <c r="B6" s="15">
        <v>60010</v>
      </c>
    </row>
    <row r="7" spans="1:2" x14ac:dyDescent="0.35">
      <c r="A7" s="3">
        <v>36</v>
      </c>
      <c r="B7" s="15">
        <v>63927.6</v>
      </c>
    </row>
    <row r="8" spans="1:2" x14ac:dyDescent="0.35">
      <c r="A8" s="3">
        <v>37</v>
      </c>
      <c r="B8" s="15">
        <v>65427.555555555555</v>
      </c>
    </row>
    <row r="9" spans="1:2" x14ac:dyDescent="0.35">
      <c r="A9" s="3">
        <v>38</v>
      </c>
      <c r="B9" s="15">
        <v>71174.444444444438</v>
      </c>
    </row>
    <row r="10" spans="1:2" x14ac:dyDescent="0.35">
      <c r="A10" s="3">
        <v>39</v>
      </c>
      <c r="B10" s="15">
        <v>74990</v>
      </c>
    </row>
    <row r="11" spans="1:2" x14ac:dyDescent="0.35">
      <c r="A11" s="3">
        <v>40</v>
      </c>
      <c r="B11" s="15">
        <v>61182.214285714283</v>
      </c>
    </row>
    <row r="12" spans="1:2" x14ac:dyDescent="0.35">
      <c r="A12" s="3">
        <v>41</v>
      </c>
      <c r="B12" s="15">
        <v>71728.399999999994</v>
      </c>
    </row>
    <row r="13" spans="1:2" x14ac:dyDescent="0.35">
      <c r="A13" s="3">
        <v>42</v>
      </c>
      <c r="B13" s="15">
        <v>71999.952380952382</v>
      </c>
    </row>
    <row r="14" spans="1:2" x14ac:dyDescent="0.35">
      <c r="A14" s="3">
        <v>43</v>
      </c>
      <c r="B14" s="15">
        <v>57846.25</v>
      </c>
    </row>
    <row r="15" spans="1:2" x14ac:dyDescent="0.35">
      <c r="A15" s="3">
        <v>44</v>
      </c>
      <c r="B15" s="15">
        <v>66353.71428571429</v>
      </c>
    </row>
    <row r="16" spans="1:2" x14ac:dyDescent="0.35">
      <c r="A16" s="3">
        <v>45</v>
      </c>
      <c r="B16" s="15">
        <v>74485.222222222219</v>
      </c>
    </row>
    <row r="17" spans="1:2" x14ac:dyDescent="0.35">
      <c r="A17" s="3">
        <v>46</v>
      </c>
      <c r="B17" s="15">
        <v>78318.894736842107</v>
      </c>
    </row>
    <row r="18" spans="1:2" x14ac:dyDescent="0.35">
      <c r="A18" s="3">
        <v>47</v>
      </c>
      <c r="B18" s="15">
        <v>65068.875</v>
      </c>
    </row>
    <row r="19" spans="1:2" x14ac:dyDescent="0.35">
      <c r="A19" s="3">
        <v>48</v>
      </c>
      <c r="B19" s="15">
        <v>58371.75</v>
      </c>
    </row>
    <row r="20" spans="1:2" x14ac:dyDescent="0.35">
      <c r="A20" s="3">
        <v>49</v>
      </c>
      <c r="B20" s="15">
        <v>63770.111111111109</v>
      </c>
    </row>
    <row r="21" spans="1:2" x14ac:dyDescent="0.35">
      <c r="A21" s="3">
        <v>50</v>
      </c>
      <c r="B21" s="15">
        <v>64360.444444444445</v>
      </c>
    </row>
    <row r="22" spans="1:2" x14ac:dyDescent="0.35">
      <c r="A22" s="3">
        <v>51</v>
      </c>
      <c r="B22" s="15">
        <v>56556.090909090912</v>
      </c>
    </row>
    <row r="23" spans="1:2" x14ac:dyDescent="0.35">
      <c r="A23" s="3">
        <v>52</v>
      </c>
      <c r="B23" s="15">
        <v>75090.777777777781</v>
      </c>
    </row>
    <row r="24" spans="1:2" x14ac:dyDescent="0.35">
      <c r="A24" s="3">
        <v>53</v>
      </c>
      <c r="B24" s="15">
        <v>83097.71428571429</v>
      </c>
    </row>
    <row r="25" spans="1:2" x14ac:dyDescent="0.35">
      <c r="A25" s="3">
        <v>54</v>
      </c>
      <c r="B25" s="15">
        <v>75071.333333333328</v>
      </c>
    </row>
    <row r="26" spans="1:2" x14ac:dyDescent="0.35">
      <c r="A26" s="3">
        <v>55</v>
      </c>
      <c r="B26" s="15">
        <v>70767.818181818177</v>
      </c>
    </row>
    <row r="27" spans="1:2" x14ac:dyDescent="0.35">
      <c r="A27" s="3">
        <v>56</v>
      </c>
      <c r="B27" s="15">
        <v>66627.428571428565</v>
      </c>
    </row>
    <row r="28" spans="1:2" x14ac:dyDescent="0.35">
      <c r="A28" s="3">
        <v>57</v>
      </c>
      <c r="B28" s="15">
        <v>64678.285714285717</v>
      </c>
    </row>
    <row r="29" spans="1:2" x14ac:dyDescent="0.35">
      <c r="A29" s="3">
        <v>58</v>
      </c>
      <c r="B29" s="15">
        <v>55081.75</v>
      </c>
    </row>
    <row r="30" spans="1:2" x14ac:dyDescent="0.35">
      <c r="A30" s="3">
        <v>59</v>
      </c>
      <c r="B30" s="15">
        <v>93223</v>
      </c>
    </row>
    <row r="31" spans="1:2" x14ac:dyDescent="0.35">
      <c r="A31" s="3">
        <v>60</v>
      </c>
      <c r="B31" s="15">
        <v>62638.2</v>
      </c>
    </row>
    <row r="32" spans="1:2" x14ac:dyDescent="0.35">
      <c r="A32" s="3">
        <v>61</v>
      </c>
      <c r="B32" s="15">
        <v>91254.399999999994</v>
      </c>
    </row>
    <row r="33" spans="1:2" x14ac:dyDescent="0.35">
      <c r="A33" s="3">
        <v>62</v>
      </c>
      <c r="B33" s="15">
        <v>66589</v>
      </c>
    </row>
    <row r="34" spans="1:2" x14ac:dyDescent="0.35">
      <c r="A34" s="3">
        <v>64</v>
      </c>
      <c r="B34" s="15">
        <v>59472</v>
      </c>
    </row>
    <row r="35" spans="1:2" x14ac:dyDescent="0.35">
      <c r="A35" s="3">
        <v>66</v>
      </c>
      <c r="B35" s="15">
        <v>55878</v>
      </c>
    </row>
    <row r="36" spans="1:2" x14ac:dyDescent="0.35">
      <c r="A36" s="3">
        <v>67</v>
      </c>
      <c r="B36" s="15">
        <v>70507</v>
      </c>
    </row>
    <row r="37" spans="1:2" x14ac:dyDescent="0.35">
      <c r="A37" s="3">
        <v>70</v>
      </c>
      <c r="B37" s="15">
        <v>69130</v>
      </c>
    </row>
    <row r="38" spans="1:2" x14ac:dyDescent="0.35">
      <c r="A38" s="3">
        <v>71</v>
      </c>
      <c r="B38" s="15">
        <v>155904.5</v>
      </c>
    </row>
    <row r="39" spans="1:2" x14ac:dyDescent="0.35">
      <c r="A39" s="3">
        <v>72</v>
      </c>
      <c r="B39" s="15">
        <v>72202</v>
      </c>
    </row>
    <row r="40" spans="1:2" x14ac:dyDescent="0.35">
      <c r="A40" s="3">
        <v>73</v>
      </c>
      <c r="B40" s="15">
        <v>69723.666666666672</v>
      </c>
    </row>
    <row r="41" spans="1:2" x14ac:dyDescent="0.35">
      <c r="A41" s="3">
        <v>74</v>
      </c>
      <c r="B41" s="15">
        <v>59965.5</v>
      </c>
    </row>
    <row r="42" spans="1:2" x14ac:dyDescent="0.35">
      <c r="A42" s="3" t="s">
        <v>724</v>
      </c>
      <c r="B42" s="15">
        <v>69020.684887459807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7DB75-23F8-40FF-AD11-2C111567608B}">
  <dimension ref="A1:C24"/>
  <sheetViews>
    <sheetView workbookViewId="0">
      <selection activeCell="P7" sqref="P7"/>
    </sheetView>
  </sheetViews>
  <sheetFormatPr defaultRowHeight="14.5" x14ac:dyDescent="0.35"/>
  <cols>
    <col min="1" max="1" width="18.36328125" bestFit="1" customWidth="1"/>
    <col min="2" max="2" width="15.36328125" bestFit="1" customWidth="1"/>
    <col min="3" max="3" width="16.26953125" bestFit="1" customWidth="1"/>
    <col min="4" max="4" width="12.08984375" bestFit="1" customWidth="1"/>
  </cols>
  <sheetData>
    <row r="1" spans="1:3" ht="18.5" x14ac:dyDescent="0.45">
      <c r="A1" s="11" t="s">
        <v>739</v>
      </c>
      <c r="B1" s="10"/>
      <c r="C1" s="10"/>
    </row>
    <row r="3" spans="1:3" x14ac:dyDescent="0.35">
      <c r="A3" s="8" t="s">
        <v>723</v>
      </c>
      <c r="B3" t="s">
        <v>732</v>
      </c>
    </row>
    <row r="4" spans="1:3" x14ac:dyDescent="0.35">
      <c r="A4" s="3">
        <v>0</v>
      </c>
      <c r="B4" s="15">
        <v>70947.555555555562</v>
      </c>
    </row>
    <row r="5" spans="1:3" x14ac:dyDescent="0.35">
      <c r="A5" s="3">
        <v>1</v>
      </c>
      <c r="B5" s="15">
        <v>69807.850000000006</v>
      </c>
    </row>
    <row r="6" spans="1:3" x14ac:dyDescent="0.35">
      <c r="A6" s="3">
        <v>2</v>
      </c>
      <c r="B6" s="15">
        <v>73319.28571428571</v>
      </c>
    </row>
    <row r="7" spans="1:3" x14ac:dyDescent="0.35">
      <c r="A7" s="3">
        <v>3</v>
      </c>
      <c r="B7" s="15">
        <v>70365.789473684214</v>
      </c>
    </row>
    <row r="8" spans="1:3" x14ac:dyDescent="0.35">
      <c r="A8" s="3">
        <v>4</v>
      </c>
      <c r="B8" s="15">
        <v>57802.0625</v>
      </c>
    </row>
    <row r="9" spans="1:3" x14ac:dyDescent="0.35">
      <c r="A9" s="3">
        <v>5</v>
      </c>
      <c r="B9" s="15">
        <v>60863.666666666664</v>
      </c>
    </row>
    <row r="10" spans="1:3" x14ac:dyDescent="0.35">
      <c r="A10" s="3">
        <v>6</v>
      </c>
      <c r="B10" s="15">
        <v>58991.333333333336</v>
      </c>
    </row>
    <row r="11" spans="1:3" x14ac:dyDescent="0.35">
      <c r="A11" s="3">
        <v>7</v>
      </c>
      <c r="B11" s="15">
        <v>51621.4</v>
      </c>
    </row>
    <row r="12" spans="1:3" x14ac:dyDescent="0.35">
      <c r="A12" s="3">
        <v>8</v>
      </c>
      <c r="B12" s="15">
        <v>101509</v>
      </c>
    </row>
    <row r="13" spans="1:3" x14ac:dyDescent="0.35">
      <c r="A13" s="3">
        <v>9</v>
      </c>
      <c r="B13" s="15">
        <v>73837.46666666666</v>
      </c>
    </row>
    <row r="14" spans="1:3" x14ac:dyDescent="0.35">
      <c r="A14" s="3">
        <v>10</v>
      </c>
      <c r="B14" s="15">
        <v>70206.620689655174</v>
      </c>
    </row>
    <row r="15" spans="1:3" x14ac:dyDescent="0.35">
      <c r="A15" s="3">
        <v>11</v>
      </c>
      <c r="B15" s="15">
        <v>68069.528301886792</v>
      </c>
    </row>
    <row r="16" spans="1:3" x14ac:dyDescent="0.35">
      <c r="A16" s="3">
        <v>12</v>
      </c>
      <c r="B16" s="15">
        <v>64594.729729729726</v>
      </c>
    </row>
    <row r="17" spans="1:2" x14ac:dyDescent="0.35">
      <c r="A17" s="3">
        <v>13</v>
      </c>
      <c r="B17" s="15">
        <v>72849.275862068971</v>
      </c>
    </row>
    <row r="18" spans="1:2" x14ac:dyDescent="0.35">
      <c r="A18" s="3">
        <v>14</v>
      </c>
      <c r="B18" s="15">
        <v>66858.291666666672</v>
      </c>
    </row>
    <row r="19" spans="1:2" x14ac:dyDescent="0.35">
      <c r="A19" s="3">
        <v>15</v>
      </c>
      <c r="B19" s="15">
        <v>89136.166666666672</v>
      </c>
    </row>
    <row r="20" spans="1:2" x14ac:dyDescent="0.35">
      <c r="A20" s="3">
        <v>16</v>
      </c>
      <c r="B20" s="15">
        <v>95342.5</v>
      </c>
    </row>
    <row r="21" spans="1:2" x14ac:dyDescent="0.35">
      <c r="A21" s="3">
        <v>17</v>
      </c>
      <c r="B21" s="15">
        <v>63995.5</v>
      </c>
    </row>
    <row r="22" spans="1:2" x14ac:dyDescent="0.35">
      <c r="A22" s="3">
        <v>18</v>
      </c>
      <c r="B22" s="15">
        <v>47001</v>
      </c>
    </row>
    <row r="23" spans="1:2" x14ac:dyDescent="0.35">
      <c r="A23" s="3">
        <v>19</v>
      </c>
      <c r="B23" s="15">
        <v>64397</v>
      </c>
    </row>
    <row r="24" spans="1:2" x14ac:dyDescent="0.35">
      <c r="A24" s="3" t="s">
        <v>724</v>
      </c>
      <c r="B24" s="15">
        <v>69020.684887459807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F950-EE91-4A48-B6DD-A39CACBEC3EE}">
  <dimension ref="A1:S51"/>
  <sheetViews>
    <sheetView workbookViewId="0">
      <selection activeCell="T7" sqref="T7"/>
    </sheetView>
  </sheetViews>
  <sheetFormatPr defaultRowHeight="18.5" customHeight="1" x14ac:dyDescent="0.35"/>
  <cols>
    <col min="1" max="1" width="3.08984375" style="17" customWidth="1"/>
    <col min="2" max="16384" width="8.7265625" style="17"/>
  </cols>
  <sheetData>
    <row r="1" spans="1:19" s="30" customFormat="1" ht="18.5" customHeight="1" x14ac:dyDescent="0.35">
      <c r="A1" s="29" t="s">
        <v>746</v>
      </c>
    </row>
    <row r="2" spans="1:19" s="30" customFormat="1" ht="18.5" customHeight="1" x14ac:dyDescent="0.35"/>
    <row r="3" spans="1:19" ht="39.5" customHeight="1" x14ac:dyDescent="0.35">
      <c r="B3" s="31" t="s">
        <v>740</v>
      </c>
      <c r="C3" s="32"/>
      <c r="F3" s="33" t="s">
        <v>741</v>
      </c>
      <c r="G3" s="34"/>
      <c r="J3" s="33" t="s">
        <v>742</v>
      </c>
      <c r="K3" s="34"/>
      <c r="N3" s="33" t="s">
        <v>743</v>
      </c>
      <c r="O3" s="34"/>
      <c r="R3" s="33" t="s">
        <v>744</v>
      </c>
      <c r="S3" s="34"/>
    </row>
    <row r="4" spans="1:19" ht="18.5" customHeight="1" x14ac:dyDescent="0.35">
      <c r="B4" s="24">
        <f>GETPIVOTDATA("EmploymentStatus",Turnover_by_department!$A$3)</f>
        <v>311</v>
      </c>
      <c r="C4" s="25"/>
      <c r="F4" s="23">
        <f>GETPIVOTDATA("Середнє з Salary",Salary_by_department!$A$3)</f>
        <v>69020.684887459807</v>
      </c>
      <c r="G4" s="22"/>
      <c r="J4" s="26">
        <f ca="1">HRDataset_clean[[#Totals],[Age]]</f>
        <v>46.389067524115752</v>
      </c>
      <c r="K4" s="27"/>
      <c r="N4" s="26">
        <f ca="1">HRDataset_clean[[#Totals],[Experience]]</f>
        <v>8.8617363344051441</v>
      </c>
      <c r="O4" s="27"/>
      <c r="R4" s="28">
        <f>Turnover_by_department!B30</f>
        <v>0.33440514469453375</v>
      </c>
      <c r="S4" s="25"/>
    </row>
    <row r="5" spans="1:19" ht="93" customHeight="1" x14ac:dyDescent="0.35"/>
    <row r="6" spans="1:19" ht="18.5" customHeight="1" x14ac:dyDescent="0.35">
      <c r="B6" s="18"/>
      <c r="C6" s="18"/>
      <c r="D6" s="18"/>
      <c r="E6" s="18"/>
      <c r="F6" s="18"/>
      <c r="G6" s="18"/>
      <c r="H6" s="18"/>
      <c r="I6" s="18"/>
      <c r="J6" s="18"/>
      <c r="K6" s="18"/>
      <c r="L6" s="18"/>
      <c r="M6" s="18"/>
      <c r="N6" s="18"/>
      <c r="O6" s="18"/>
      <c r="P6" s="18"/>
      <c r="Q6" s="18"/>
      <c r="R6" s="18"/>
      <c r="S6" s="18"/>
    </row>
    <row r="7" spans="1:19" ht="18.5" customHeight="1" x14ac:dyDescent="0.35">
      <c r="B7" s="18"/>
      <c r="C7" s="18"/>
      <c r="D7" s="18"/>
      <c r="E7" s="18"/>
      <c r="F7" s="18"/>
      <c r="G7" s="18"/>
      <c r="H7" s="18"/>
      <c r="I7" s="18"/>
      <c r="J7" s="18"/>
      <c r="K7" s="18"/>
      <c r="L7" s="18"/>
      <c r="M7" s="18"/>
      <c r="N7" s="18"/>
      <c r="O7" s="18"/>
      <c r="P7" s="18"/>
      <c r="Q7" s="18"/>
      <c r="R7" s="18"/>
      <c r="S7" s="18"/>
    </row>
    <row r="8" spans="1:19" ht="18.5" customHeight="1" x14ac:dyDescent="0.35">
      <c r="B8" s="18"/>
      <c r="C8" s="18"/>
      <c r="D8" s="18"/>
      <c r="E8" s="18"/>
      <c r="F8" s="18"/>
      <c r="G8" s="18"/>
      <c r="H8" s="18"/>
      <c r="I8" s="21"/>
      <c r="J8" s="18"/>
      <c r="K8" s="18"/>
      <c r="L8" s="18"/>
      <c r="M8" s="18"/>
      <c r="N8" s="18"/>
      <c r="O8" s="18"/>
      <c r="P8" s="18"/>
      <c r="Q8" s="18"/>
      <c r="R8" s="18"/>
      <c r="S8" s="18"/>
    </row>
    <row r="9" spans="1:19" ht="18.5" customHeight="1" x14ac:dyDescent="0.35">
      <c r="B9" s="18"/>
      <c r="C9" s="18"/>
      <c r="D9" s="18"/>
      <c r="E9" s="18"/>
      <c r="F9" s="18"/>
      <c r="G9" s="18"/>
      <c r="H9" s="18"/>
      <c r="I9" s="18"/>
      <c r="J9" s="18"/>
      <c r="K9" s="18"/>
      <c r="L9" s="18"/>
      <c r="M9" s="18"/>
      <c r="N9" s="18"/>
      <c r="O9" s="18"/>
      <c r="P9" s="18"/>
      <c r="Q9" s="18"/>
      <c r="R9" s="18"/>
      <c r="S9" s="18"/>
    </row>
    <row r="10" spans="1:19" ht="18.5" customHeight="1" x14ac:dyDescent="0.35">
      <c r="B10" s="18"/>
      <c r="C10" s="18"/>
      <c r="D10" s="18"/>
      <c r="E10" s="18"/>
      <c r="F10" s="18"/>
      <c r="G10" s="18"/>
      <c r="H10" s="18"/>
      <c r="I10" s="18"/>
      <c r="J10" s="18"/>
      <c r="K10" s="18"/>
      <c r="L10" s="18"/>
      <c r="M10" s="18"/>
      <c r="N10" s="18"/>
      <c r="O10" s="18"/>
      <c r="P10" s="18"/>
      <c r="Q10" s="18"/>
      <c r="R10" s="18"/>
      <c r="S10" s="18"/>
    </row>
    <row r="11" spans="1:19" ht="18.5" customHeight="1" x14ac:dyDescent="0.35">
      <c r="B11" s="18"/>
      <c r="C11" s="18"/>
      <c r="D11" s="18"/>
      <c r="E11" s="18"/>
      <c r="F11" s="18"/>
      <c r="G11" s="18"/>
      <c r="H11" s="18"/>
      <c r="I11" s="18"/>
      <c r="J11" s="18"/>
      <c r="K11" s="18"/>
      <c r="L11" s="18"/>
      <c r="M11" s="18"/>
      <c r="N11" s="18"/>
      <c r="O11" s="18"/>
      <c r="P11" s="18"/>
      <c r="Q11" s="18"/>
      <c r="R11" s="18"/>
      <c r="S11" s="18"/>
    </row>
    <row r="12" spans="1:19" ht="18.5" customHeight="1" x14ac:dyDescent="0.35">
      <c r="B12" s="18"/>
      <c r="C12" s="18"/>
      <c r="D12" s="18"/>
      <c r="E12" s="18"/>
      <c r="F12" s="18"/>
      <c r="G12" s="18"/>
      <c r="H12" s="18"/>
      <c r="I12" s="18"/>
      <c r="J12" s="18"/>
      <c r="K12" s="18"/>
      <c r="L12" s="18"/>
      <c r="M12" s="18"/>
      <c r="N12" s="18"/>
      <c r="O12" s="18"/>
      <c r="P12" s="18"/>
      <c r="Q12" s="18"/>
      <c r="R12" s="18"/>
      <c r="S12" s="18"/>
    </row>
    <row r="13" spans="1:19" ht="18.5" customHeight="1" x14ac:dyDescent="0.35">
      <c r="B13" s="18"/>
      <c r="C13" s="18"/>
      <c r="D13" s="18"/>
      <c r="E13" s="18"/>
      <c r="F13" s="18"/>
      <c r="G13" s="18"/>
      <c r="H13" s="18"/>
      <c r="I13" s="18"/>
      <c r="J13" s="18"/>
      <c r="K13" s="18"/>
      <c r="L13" s="18"/>
      <c r="M13" s="18"/>
      <c r="N13" s="18"/>
      <c r="O13" s="18"/>
      <c r="P13" s="18"/>
      <c r="Q13" s="18"/>
      <c r="R13" s="18"/>
      <c r="S13" s="18"/>
    </row>
    <row r="14" spans="1:19" ht="18.5" customHeight="1" x14ac:dyDescent="0.35">
      <c r="B14" s="18"/>
      <c r="C14" s="18"/>
      <c r="D14" s="18"/>
      <c r="E14" s="18"/>
      <c r="F14" s="18"/>
      <c r="G14" s="18"/>
      <c r="H14" s="18"/>
      <c r="I14" s="18"/>
      <c r="J14" s="18"/>
      <c r="K14" s="18"/>
      <c r="L14" s="18"/>
      <c r="M14" s="18"/>
      <c r="N14" s="18"/>
      <c r="O14" s="18"/>
      <c r="P14" s="18"/>
      <c r="Q14" s="18"/>
      <c r="R14" s="18"/>
      <c r="S14" s="18"/>
    </row>
    <row r="15" spans="1:19" ht="18.5" customHeight="1" x14ac:dyDescent="0.35">
      <c r="B15" s="18"/>
      <c r="C15" s="18"/>
      <c r="D15" s="18"/>
      <c r="E15" s="18"/>
      <c r="F15" s="18"/>
      <c r="G15" s="18"/>
      <c r="H15" s="18"/>
      <c r="I15" s="18"/>
      <c r="J15" s="18"/>
      <c r="K15" s="18"/>
      <c r="L15" s="18"/>
      <c r="M15" s="18"/>
      <c r="N15" s="18"/>
      <c r="O15" s="18"/>
      <c r="P15" s="18"/>
      <c r="Q15" s="18"/>
      <c r="R15" s="18"/>
      <c r="S15" s="18"/>
    </row>
    <row r="16" spans="1:19" ht="18.5" customHeight="1" x14ac:dyDescent="0.35">
      <c r="B16" s="18"/>
      <c r="C16" s="18"/>
      <c r="D16" s="18"/>
      <c r="E16" s="18"/>
      <c r="F16" s="18"/>
      <c r="G16" s="18"/>
      <c r="H16" s="18"/>
      <c r="I16" s="18"/>
      <c r="J16" s="18"/>
      <c r="K16" s="18"/>
      <c r="L16" s="18"/>
      <c r="M16" s="18"/>
      <c r="N16" s="18"/>
      <c r="O16" s="18"/>
      <c r="P16" s="18"/>
      <c r="Q16" s="18"/>
      <c r="R16" s="18"/>
      <c r="S16" s="18"/>
    </row>
    <row r="17" spans="2:19" ht="18.5" customHeight="1" x14ac:dyDescent="0.35">
      <c r="B17" s="18"/>
      <c r="C17" s="18"/>
      <c r="D17" s="18"/>
      <c r="E17" s="18"/>
      <c r="F17" s="18"/>
      <c r="G17" s="18"/>
      <c r="H17" s="18"/>
      <c r="I17" s="18"/>
      <c r="J17" s="18"/>
      <c r="K17" s="18"/>
      <c r="L17" s="18"/>
      <c r="M17" s="18"/>
      <c r="N17" s="18"/>
      <c r="O17" s="18"/>
      <c r="P17" s="18"/>
      <c r="Q17" s="18"/>
      <c r="R17" s="18"/>
      <c r="S17" s="18"/>
    </row>
    <row r="18" spans="2:19" ht="18.5" customHeight="1" x14ac:dyDescent="0.35">
      <c r="B18" s="18"/>
      <c r="C18" s="18"/>
      <c r="D18" s="18"/>
      <c r="E18" s="18"/>
      <c r="F18" s="18"/>
      <c r="G18" s="18"/>
      <c r="H18" s="18"/>
      <c r="I18" s="18"/>
      <c r="J18" s="18"/>
      <c r="K18" s="18"/>
      <c r="L18" s="18"/>
      <c r="M18" s="18"/>
      <c r="N18" s="18"/>
      <c r="O18" s="18"/>
      <c r="P18" s="18"/>
      <c r="Q18" s="18"/>
      <c r="R18" s="18"/>
      <c r="S18" s="18"/>
    </row>
    <row r="19" spans="2:19" ht="18.5" customHeight="1" x14ac:dyDescent="0.35">
      <c r="B19" s="18"/>
      <c r="C19" s="18"/>
      <c r="D19" s="18"/>
      <c r="E19" s="18"/>
      <c r="F19" s="18"/>
      <c r="G19" s="18"/>
      <c r="H19" s="18"/>
      <c r="I19" s="18"/>
      <c r="J19" s="18"/>
      <c r="K19" s="18"/>
      <c r="L19" s="18"/>
      <c r="M19" s="18"/>
      <c r="N19" s="18"/>
      <c r="O19" s="18"/>
      <c r="P19" s="18"/>
      <c r="Q19" s="18"/>
      <c r="R19" s="18"/>
      <c r="S19" s="18"/>
    </row>
    <row r="20" spans="2:19" ht="18.5" customHeight="1" x14ac:dyDescent="0.35">
      <c r="B20" s="18"/>
      <c r="C20" s="18"/>
      <c r="D20" s="18"/>
      <c r="E20" s="18"/>
      <c r="F20" s="18"/>
      <c r="G20" s="18"/>
      <c r="H20" s="18"/>
      <c r="I20" s="18"/>
      <c r="J20" s="18"/>
      <c r="K20" s="18"/>
      <c r="L20" s="18"/>
      <c r="M20" s="18"/>
      <c r="N20" s="18"/>
      <c r="O20" s="18"/>
      <c r="P20" s="18"/>
      <c r="Q20" s="18"/>
      <c r="R20" s="18"/>
      <c r="S20" s="18"/>
    </row>
    <row r="21" spans="2:19" ht="18.5" customHeight="1" x14ac:dyDescent="0.35">
      <c r="B21" s="18"/>
      <c r="C21" s="18"/>
      <c r="D21" s="18"/>
      <c r="E21" s="18"/>
      <c r="F21" s="18"/>
      <c r="G21" s="18"/>
      <c r="H21" s="18"/>
      <c r="I21" s="18"/>
      <c r="J21" s="18"/>
      <c r="K21" s="18"/>
      <c r="L21" s="18"/>
      <c r="M21" s="18"/>
      <c r="N21" s="18"/>
      <c r="O21" s="18"/>
      <c r="P21" s="18"/>
      <c r="Q21" s="18"/>
      <c r="R21" s="18"/>
      <c r="S21" s="18"/>
    </row>
    <row r="22" spans="2:19" ht="18.5" customHeight="1" x14ac:dyDescent="0.35">
      <c r="B22" s="18"/>
      <c r="C22" s="18"/>
      <c r="D22" s="18"/>
      <c r="E22" s="18"/>
      <c r="F22" s="18"/>
      <c r="G22" s="18"/>
      <c r="H22" s="18"/>
      <c r="I22" s="18"/>
      <c r="J22" s="18"/>
      <c r="K22" s="18"/>
      <c r="L22" s="18"/>
      <c r="M22" s="18"/>
      <c r="N22" s="18"/>
      <c r="O22" s="18"/>
      <c r="P22" s="18"/>
      <c r="Q22" s="18"/>
      <c r="R22" s="18"/>
      <c r="S22" s="18"/>
    </row>
    <row r="23" spans="2:19" ht="18.5" customHeight="1" x14ac:dyDescent="0.35">
      <c r="B23" s="18"/>
      <c r="C23" s="18"/>
      <c r="D23" s="18"/>
      <c r="E23" s="18"/>
      <c r="F23" s="18"/>
      <c r="G23" s="18"/>
      <c r="H23" s="18"/>
      <c r="I23" s="18"/>
      <c r="J23" s="18"/>
      <c r="K23" s="18"/>
      <c r="L23" s="18"/>
      <c r="M23" s="18"/>
      <c r="N23" s="18"/>
      <c r="O23" s="18"/>
      <c r="P23" s="18"/>
      <c r="Q23" s="18"/>
      <c r="R23" s="18"/>
      <c r="S23" s="18"/>
    </row>
    <row r="24" spans="2:19" ht="18.5" customHeight="1" x14ac:dyDescent="0.35">
      <c r="B24" s="18"/>
      <c r="C24" s="18"/>
      <c r="D24" s="18"/>
      <c r="E24" s="18"/>
      <c r="F24" s="18"/>
      <c r="G24" s="18"/>
      <c r="H24" s="18"/>
      <c r="I24" s="18"/>
      <c r="J24" s="18"/>
      <c r="K24" s="18"/>
      <c r="L24" s="18"/>
      <c r="M24" s="18"/>
      <c r="N24" s="18"/>
      <c r="O24" s="18"/>
      <c r="P24" s="18"/>
      <c r="Q24" s="18"/>
      <c r="R24" s="18"/>
      <c r="S24" s="18"/>
    </row>
    <row r="25" spans="2:19" ht="18.5" customHeight="1" x14ac:dyDescent="0.35">
      <c r="B25" s="18"/>
      <c r="C25" s="18"/>
      <c r="D25" s="18"/>
      <c r="E25" s="18"/>
      <c r="F25" s="18"/>
      <c r="G25" s="18"/>
      <c r="H25" s="18"/>
      <c r="I25" s="18"/>
      <c r="J25" s="18"/>
      <c r="K25" s="18"/>
      <c r="L25" s="18"/>
      <c r="M25" s="18"/>
      <c r="N25" s="18"/>
      <c r="O25" s="18"/>
      <c r="P25" s="18"/>
      <c r="Q25" s="18"/>
      <c r="R25" s="18"/>
      <c r="S25" s="18"/>
    </row>
    <row r="26" spans="2:19" ht="18.5" customHeight="1" x14ac:dyDescent="0.35">
      <c r="B26" s="18"/>
      <c r="C26" s="18"/>
      <c r="D26" s="18"/>
      <c r="E26" s="18"/>
      <c r="F26" s="18"/>
      <c r="G26" s="18"/>
      <c r="H26" s="18"/>
      <c r="I26" s="18"/>
      <c r="J26" s="18"/>
      <c r="K26" s="18"/>
      <c r="L26" s="18"/>
      <c r="M26" s="18"/>
      <c r="N26" s="18"/>
      <c r="O26" s="18"/>
      <c r="P26" s="18"/>
      <c r="Q26" s="18"/>
      <c r="R26" s="18"/>
      <c r="S26" s="18"/>
    </row>
    <row r="27" spans="2:19" ht="18.5" customHeight="1" x14ac:dyDescent="0.35">
      <c r="B27" s="18"/>
      <c r="C27" s="18"/>
      <c r="D27" s="18"/>
      <c r="E27" s="18"/>
      <c r="F27" s="18"/>
      <c r="G27" s="18"/>
      <c r="H27" s="18"/>
      <c r="I27" s="18"/>
      <c r="J27" s="18"/>
      <c r="K27" s="18"/>
      <c r="L27" s="18"/>
      <c r="M27" s="18"/>
      <c r="N27" s="18"/>
      <c r="O27" s="18"/>
      <c r="P27" s="18"/>
      <c r="Q27" s="18"/>
      <c r="R27" s="18"/>
      <c r="S27" s="18"/>
    </row>
    <row r="28" spans="2:19" ht="18.5" customHeight="1" x14ac:dyDescent="0.35">
      <c r="B28" s="18"/>
      <c r="C28" s="18"/>
      <c r="D28" s="18"/>
      <c r="E28" s="18"/>
      <c r="F28" s="18"/>
      <c r="G28" s="18"/>
      <c r="H28" s="18"/>
      <c r="I28" s="18"/>
      <c r="J28" s="18"/>
      <c r="K28" s="18"/>
      <c r="L28" s="18"/>
      <c r="M28" s="18"/>
      <c r="N28" s="18"/>
      <c r="O28" s="18"/>
      <c r="P28" s="18"/>
      <c r="Q28" s="18"/>
      <c r="R28" s="18"/>
      <c r="S28" s="18"/>
    </row>
    <row r="29" spans="2:19" ht="18.5" customHeight="1" x14ac:dyDescent="0.35">
      <c r="B29" s="18"/>
      <c r="C29" s="18"/>
      <c r="D29" s="18"/>
      <c r="E29" s="18"/>
      <c r="F29" s="18"/>
      <c r="G29" s="18"/>
      <c r="H29" s="18"/>
      <c r="I29" s="18"/>
      <c r="J29" s="18"/>
      <c r="K29" s="18"/>
      <c r="L29" s="18"/>
      <c r="M29" s="18"/>
      <c r="N29" s="18"/>
      <c r="O29" s="18"/>
      <c r="P29" s="18"/>
      <c r="Q29" s="18"/>
      <c r="R29" s="18"/>
      <c r="S29" s="18"/>
    </row>
    <row r="30" spans="2:19" ht="18.5" customHeight="1" x14ac:dyDescent="0.35">
      <c r="B30" s="18"/>
      <c r="C30" s="18"/>
      <c r="D30" s="18"/>
      <c r="E30" s="18"/>
      <c r="F30" s="18"/>
      <c r="G30" s="18"/>
      <c r="H30" s="18"/>
      <c r="I30" s="18"/>
      <c r="J30" s="18"/>
      <c r="K30" s="18"/>
      <c r="L30" s="18"/>
      <c r="M30" s="18"/>
      <c r="N30" s="18"/>
      <c r="O30" s="18"/>
      <c r="P30" s="18"/>
      <c r="Q30" s="18"/>
      <c r="R30" s="18"/>
      <c r="S30" s="18"/>
    </row>
    <row r="31" spans="2:19" ht="18.5" customHeight="1" x14ac:dyDescent="0.35">
      <c r="B31" s="18"/>
      <c r="C31" s="18"/>
      <c r="D31" s="18"/>
      <c r="E31" s="18"/>
      <c r="F31" s="18"/>
      <c r="G31" s="18"/>
      <c r="H31" s="18"/>
      <c r="I31" s="18"/>
      <c r="J31" s="18"/>
      <c r="K31" s="18"/>
      <c r="L31" s="18"/>
      <c r="M31" s="18"/>
      <c r="N31" s="18"/>
      <c r="O31" s="18"/>
      <c r="P31" s="18"/>
      <c r="Q31" s="18"/>
      <c r="R31" s="18"/>
      <c r="S31" s="18"/>
    </row>
    <row r="32" spans="2:19" ht="18.5" customHeight="1" x14ac:dyDescent="0.35">
      <c r="B32" s="18"/>
      <c r="C32" s="18"/>
      <c r="D32" s="18"/>
      <c r="E32" s="18"/>
      <c r="F32" s="18"/>
      <c r="G32" s="18"/>
      <c r="H32" s="18"/>
      <c r="I32" s="18"/>
      <c r="J32" s="18"/>
      <c r="K32" s="18"/>
      <c r="L32" s="18"/>
      <c r="M32" s="18"/>
      <c r="N32" s="18"/>
      <c r="O32" s="18"/>
      <c r="P32" s="18"/>
      <c r="Q32" s="18"/>
      <c r="R32" s="18"/>
      <c r="S32" s="18"/>
    </row>
    <row r="33" spans="2:19" ht="18.5" customHeight="1" x14ac:dyDescent="0.35">
      <c r="B33" s="18"/>
      <c r="C33" s="18"/>
      <c r="D33" s="18"/>
      <c r="E33" s="18"/>
      <c r="F33" s="18"/>
      <c r="G33" s="18"/>
      <c r="H33" s="18"/>
      <c r="I33" s="18"/>
      <c r="J33" s="18"/>
      <c r="K33" s="18"/>
      <c r="L33" s="18"/>
      <c r="M33" s="18"/>
      <c r="N33" s="18"/>
      <c r="O33" s="18"/>
      <c r="P33" s="18"/>
      <c r="Q33" s="18"/>
      <c r="R33" s="18"/>
      <c r="S33" s="18"/>
    </row>
    <row r="34" spans="2:19" ht="18.5" customHeight="1" x14ac:dyDescent="0.35">
      <c r="B34" s="18"/>
      <c r="C34" s="18"/>
      <c r="D34" s="18"/>
      <c r="E34" s="18"/>
      <c r="F34" s="18"/>
      <c r="G34" s="18"/>
      <c r="H34" s="18"/>
      <c r="I34" s="18"/>
      <c r="J34" s="18"/>
      <c r="K34" s="18"/>
      <c r="L34" s="18"/>
      <c r="M34" s="18"/>
      <c r="N34" s="18"/>
      <c r="O34" s="18"/>
      <c r="P34" s="18"/>
      <c r="Q34" s="18"/>
      <c r="R34" s="18"/>
      <c r="S34" s="18"/>
    </row>
    <row r="35" spans="2:19" ht="18.5" customHeight="1" x14ac:dyDescent="0.35">
      <c r="B35" s="18"/>
      <c r="C35" s="18"/>
      <c r="D35" s="18"/>
      <c r="E35" s="18"/>
      <c r="F35" s="18"/>
      <c r="G35" s="18"/>
      <c r="H35" s="18"/>
      <c r="I35" s="18"/>
      <c r="J35" s="18"/>
      <c r="K35" s="18"/>
      <c r="L35" s="18"/>
      <c r="M35" s="18"/>
      <c r="N35" s="18"/>
      <c r="O35" s="18"/>
      <c r="P35" s="18"/>
      <c r="Q35" s="18"/>
      <c r="R35" s="18"/>
      <c r="S35" s="18"/>
    </row>
    <row r="36" spans="2:19" ht="18.5" customHeight="1" x14ac:dyDescent="0.35">
      <c r="B36" s="18"/>
      <c r="C36" s="18"/>
      <c r="D36" s="18"/>
      <c r="E36" s="18"/>
      <c r="F36" s="18"/>
      <c r="G36" s="18"/>
      <c r="H36" s="18"/>
      <c r="I36" s="18"/>
      <c r="J36" s="18"/>
      <c r="K36" s="18"/>
      <c r="L36" s="18"/>
      <c r="M36" s="18"/>
      <c r="N36" s="18"/>
      <c r="O36" s="18"/>
      <c r="P36" s="18"/>
      <c r="Q36" s="18"/>
      <c r="R36" s="18"/>
      <c r="S36" s="18"/>
    </row>
    <row r="37" spans="2:19" ht="18.5" customHeight="1" x14ac:dyDescent="0.35">
      <c r="B37" s="18"/>
      <c r="C37" s="18"/>
      <c r="D37" s="18"/>
      <c r="E37" s="18"/>
      <c r="F37" s="18"/>
      <c r="G37" s="18"/>
      <c r="H37" s="18"/>
      <c r="I37" s="18"/>
      <c r="J37" s="18"/>
      <c r="K37" s="18"/>
      <c r="L37" s="18"/>
      <c r="M37" s="18"/>
      <c r="N37" s="18"/>
      <c r="O37" s="18"/>
      <c r="P37" s="18"/>
      <c r="Q37" s="18"/>
      <c r="R37" s="18"/>
      <c r="S37" s="18"/>
    </row>
    <row r="38" spans="2:19" ht="18.5" customHeight="1" x14ac:dyDescent="0.35">
      <c r="B38" s="18"/>
      <c r="C38" s="18"/>
      <c r="D38" s="18"/>
      <c r="E38" s="18"/>
      <c r="F38" s="18"/>
      <c r="G38" s="18"/>
      <c r="H38" s="18"/>
      <c r="I38" s="18"/>
      <c r="J38" s="18"/>
      <c r="K38" s="18"/>
      <c r="L38" s="18"/>
      <c r="M38" s="18"/>
      <c r="N38" s="18"/>
      <c r="O38" s="18"/>
      <c r="P38" s="18"/>
      <c r="Q38" s="18"/>
      <c r="R38" s="18"/>
      <c r="S38" s="18"/>
    </row>
    <row r="39" spans="2:19" ht="18.5" customHeight="1" x14ac:dyDescent="0.35">
      <c r="B39" s="18"/>
      <c r="C39" s="18"/>
      <c r="D39" s="18"/>
      <c r="E39" s="18"/>
      <c r="F39" s="18"/>
      <c r="G39" s="18"/>
      <c r="H39" s="18"/>
      <c r="I39" s="18"/>
      <c r="J39" s="18"/>
      <c r="K39" s="18"/>
      <c r="L39" s="18"/>
      <c r="M39" s="18"/>
      <c r="N39" s="18"/>
      <c r="O39" s="18"/>
      <c r="P39" s="18"/>
      <c r="Q39" s="18"/>
      <c r="R39" s="18"/>
      <c r="S39" s="18"/>
    </row>
    <row r="40" spans="2:19" ht="18.5" customHeight="1" x14ac:dyDescent="0.35">
      <c r="B40" s="18"/>
      <c r="C40" s="18"/>
      <c r="D40" s="18"/>
      <c r="E40" s="18"/>
      <c r="F40" s="18"/>
      <c r="G40" s="18"/>
      <c r="H40" s="18"/>
      <c r="I40" s="18"/>
      <c r="J40" s="18"/>
      <c r="K40" s="18"/>
      <c r="L40" s="18"/>
      <c r="M40" s="18"/>
      <c r="N40" s="18"/>
      <c r="O40" s="18"/>
      <c r="P40" s="18"/>
      <c r="Q40" s="18"/>
      <c r="R40" s="18"/>
      <c r="S40" s="18"/>
    </row>
    <row r="41" spans="2:19" ht="18.5" customHeight="1" x14ac:dyDescent="0.35">
      <c r="B41" s="18"/>
      <c r="C41" s="18"/>
      <c r="D41" s="18"/>
      <c r="E41" s="18"/>
      <c r="F41" s="18"/>
      <c r="G41" s="18"/>
      <c r="H41" s="18"/>
      <c r="I41" s="18"/>
      <c r="J41" s="18"/>
      <c r="K41" s="18"/>
      <c r="L41" s="18"/>
      <c r="M41" s="18"/>
      <c r="N41" s="18"/>
      <c r="O41" s="18"/>
      <c r="P41" s="18"/>
      <c r="Q41" s="18"/>
      <c r="R41" s="18"/>
      <c r="S41" s="18"/>
    </row>
    <row r="42" spans="2:19" ht="18.5" customHeight="1" x14ac:dyDescent="0.35">
      <c r="B42" s="18"/>
      <c r="C42" s="18"/>
      <c r="D42" s="18"/>
      <c r="E42" s="18"/>
      <c r="F42" s="18"/>
      <c r="G42" s="18"/>
      <c r="H42" s="18"/>
      <c r="I42" s="18"/>
      <c r="J42" s="18"/>
      <c r="K42" s="18"/>
      <c r="L42" s="18"/>
      <c r="M42" s="18"/>
      <c r="N42" s="18"/>
      <c r="O42" s="18"/>
      <c r="P42" s="18"/>
      <c r="Q42" s="18"/>
      <c r="R42" s="18"/>
      <c r="S42" s="18"/>
    </row>
    <row r="43" spans="2:19" ht="18.5" customHeight="1" x14ac:dyDescent="0.35">
      <c r="B43" s="18"/>
      <c r="C43" s="18"/>
      <c r="D43" s="18"/>
      <c r="E43" s="18"/>
      <c r="F43" s="18"/>
      <c r="G43" s="18"/>
      <c r="H43" s="18"/>
      <c r="I43" s="18"/>
      <c r="J43" s="18"/>
      <c r="K43" s="18"/>
      <c r="L43" s="18"/>
      <c r="M43" s="18"/>
      <c r="N43" s="18"/>
      <c r="O43" s="18"/>
      <c r="P43" s="18"/>
      <c r="Q43" s="18"/>
      <c r="R43" s="18"/>
      <c r="S43" s="18"/>
    </row>
    <row r="44" spans="2:19" ht="18.5" customHeight="1" x14ac:dyDescent="0.35">
      <c r="B44" s="18"/>
      <c r="C44" s="18"/>
      <c r="D44" s="18"/>
      <c r="E44" s="18"/>
      <c r="F44" s="18"/>
      <c r="G44" s="18"/>
      <c r="H44" s="18"/>
      <c r="I44" s="18"/>
      <c r="J44" s="18"/>
      <c r="K44" s="18"/>
      <c r="L44" s="18"/>
      <c r="M44" s="18"/>
      <c r="N44" s="18"/>
      <c r="O44" s="18"/>
      <c r="P44" s="18"/>
      <c r="Q44" s="18"/>
      <c r="R44" s="18"/>
      <c r="S44" s="18"/>
    </row>
    <row r="45" spans="2:19" ht="18.5" customHeight="1" x14ac:dyDescent="0.35">
      <c r="B45" s="18"/>
      <c r="C45" s="18"/>
      <c r="D45" s="18"/>
      <c r="E45" s="18"/>
      <c r="F45" s="18"/>
      <c r="G45" s="18"/>
      <c r="H45" s="18"/>
      <c r="I45" s="18"/>
      <c r="J45" s="18"/>
      <c r="K45" s="18"/>
      <c r="L45" s="18"/>
      <c r="M45" s="18"/>
      <c r="N45" s="18"/>
      <c r="O45" s="18"/>
      <c r="P45" s="18"/>
      <c r="Q45" s="18"/>
      <c r="R45" s="18"/>
      <c r="S45" s="18"/>
    </row>
    <row r="46" spans="2:19" ht="18.5" customHeight="1" x14ac:dyDescent="0.35">
      <c r="B46" s="18"/>
      <c r="C46" s="18"/>
      <c r="D46" s="18"/>
      <c r="E46" s="18"/>
      <c r="F46" s="18"/>
      <c r="G46" s="18"/>
      <c r="H46" s="18"/>
      <c r="I46" s="18"/>
      <c r="J46" s="18"/>
      <c r="K46" s="18"/>
      <c r="L46" s="18"/>
      <c r="M46" s="18"/>
      <c r="N46" s="18"/>
      <c r="O46" s="18"/>
      <c r="P46" s="18"/>
      <c r="Q46" s="18"/>
      <c r="R46" s="18"/>
      <c r="S46" s="18"/>
    </row>
    <row r="47" spans="2:19" ht="18.5" customHeight="1" x14ac:dyDescent="0.35">
      <c r="B47" s="18"/>
      <c r="C47" s="18"/>
      <c r="D47" s="18"/>
      <c r="E47" s="18"/>
      <c r="F47" s="18"/>
      <c r="G47" s="18"/>
      <c r="H47" s="18"/>
      <c r="I47" s="18"/>
      <c r="J47" s="18"/>
      <c r="K47" s="18"/>
      <c r="L47" s="18"/>
      <c r="M47" s="18"/>
      <c r="N47" s="18"/>
      <c r="O47" s="18"/>
      <c r="P47" s="18"/>
      <c r="Q47" s="18"/>
      <c r="R47" s="18"/>
      <c r="S47" s="18"/>
    </row>
    <row r="48" spans="2:19" ht="18.5" customHeight="1" x14ac:dyDescent="0.35">
      <c r="B48" s="18"/>
      <c r="C48" s="18"/>
      <c r="D48" s="18"/>
      <c r="E48" s="18"/>
      <c r="F48" s="18"/>
      <c r="G48" s="18"/>
      <c r="H48" s="18"/>
      <c r="I48" s="18"/>
      <c r="J48" s="18"/>
      <c r="K48" s="18"/>
      <c r="L48" s="18"/>
      <c r="M48" s="18"/>
      <c r="N48" s="18"/>
      <c r="O48" s="18"/>
      <c r="P48" s="18"/>
      <c r="Q48" s="18"/>
      <c r="R48" s="18"/>
      <c r="S48" s="18"/>
    </row>
    <row r="49" spans="2:19" ht="18.5" customHeight="1" x14ac:dyDescent="0.35">
      <c r="B49" s="18"/>
      <c r="C49" s="18"/>
      <c r="D49" s="18"/>
      <c r="E49" s="18"/>
      <c r="F49" s="18"/>
      <c r="G49" s="18"/>
      <c r="H49" s="18"/>
      <c r="I49" s="18"/>
      <c r="J49" s="18"/>
      <c r="K49" s="18"/>
      <c r="L49" s="18"/>
      <c r="M49" s="18"/>
      <c r="N49" s="18"/>
      <c r="O49" s="18"/>
      <c r="P49" s="18"/>
      <c r="Q49" s="18"/>
      <c r="R49" s="18"/>
      <c r="S49" s="18"/>
    </row>
    <row r="50" spans="2:19" ht="18.5" customHeight="1" x14ac:dyDescent="0.35">
      <c r="B50" s="18"/>
      <c r="C50" s="18"/>
      <c r="D50" s="18"/>
      <c r="E50" s="18"/>
      <c r="F50" s="18"/>
      <c r="G50" s="18"/>
      <c r="H50" s="18"/>
      <c r="I50" s="18"/>
      <c r="J50" s="18"/>
      <c r="K50" s="18"/>
      <c r="L50" s="18"/>
      <c r="M50" s="18"/>
      <c r="N50" s="18"/>
      <c r="O50" s="18"/>
      <c r="P50" s="18"/>
      <c r="Q50" s="18"/>
      <c r="R50" s="18"/>
      <c r="S50" s="18"/>
    </row>
    <row r="51" spans="2:19" ht="18.5" customHeight="1" x14ac:dyDescent="0.35">
      <c r="B51" s="18"/>
      <c r="C51" s="18"/>
      <c r="D51" s="18"/>
      <c r="E51" s="18"/>
      <c r="F51" s="18"/>
      <c r="G51" s="18"/>
      <c r="H51" s="18"/>
      <c r="I51" s="18"/>
      <c r="J51" s="18"/>
      <c r="K51" s="18"/>
      <c r="L51" s="18"/>
      <c r="M51" s="18"/>
      <c r="N51" s="18"/>
      <c r="O51" s="18"/>
      <c r="P51" s="18"/>
      <c r="Q51" s="18"/>
      <c r="R51" s="18"/>
      <c r="S51" s="18"/>
    </row>
  </sheetData>
  <mergeCells count="10">
    <mergeCell ref="B4:C4"/>
    <mergeCell ref="J4:K4"/>
    <mergeCell ref="N4:O4"/>
    <mergeCell ref="R4:S4"/>
    <mergeCell ref="A1:XFD2"/>
    <mergeCell ref="B3:C3"/>
    <mergeCell ref="F3:G3"/>
    <mergeCell ref="J3:K3"/>
    <mergeCell ref="N3:O3"/>
    <mergeCell ref="R3: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4B702-2314-4A9F-9456-A57B310D3EE3}">
  <dimension ref="A1:C21"/>
  <sheetViews>
    <sheetView tabSelected="1" workbookViewId="0">
      <selection activeCell="D29" sqref="D29"/>
    </sheetView>
  </sheetViews>
  <sheetFormatPr defaultRowHeight="14.5" x14ac:dyDescent="0.35"/>
  <sheetData>
    <row r="1" spans="1:3" ht="21" x14ac:dyDescent="0.5">
      <c r="A1" s="35" t="s">
        <v>747</v>
      </c>
      <c r="B1" s="35"/>
      <c r="C1" s="10"/>
    </row>
    <row r="3" spans="1:3" ht="18.5" x14ac:dyDescent="0.45">
      <c r="A3" s="36" t="s">
        <v>748</v>
      </c>
      <c r="B3" s="37"/>
    </row>
    <row r="14" spans="1:3" ht="18.5" x14ac:dyDescent="0.45">
      <c r="A14" s="36" t="s">
        <v>749</v>
      </c>
      <c r="B14" s="37"/>
      <c r="C14" s="37"/>
    </row>
    <row r="21" spans="1:3" ht="18.5" x14ac:dyDescent="0.45">
      <c r="A21" s="36" t="s">
        <v>750</v>
      </c>
      <c r="B21" s="37"/>
      <c r="C21" s="3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A945B9-CB67-41BB-8ED5-7EF2E4FC04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11</vt:i4>
      </vt:variant>
    </vt:vector>
  </HeadingPairs>
  <TitlesOfParts>
    <vt:vector size="11" baseType="lpstr">
      <vt:lpstr>HRDataset_raw</vt:lpstr>
      <vt:lpstr>HRDataset_clean</vt:lpstr>
      <vt:lpstr>Turnover_by_department</vt:lpstr>
      <vt:lpstr>Turnover_by_gender</vt:lpstr>
      <vt:lpstr>Turnover_by_experience</vt:lpstr>
      <vt:lpstr>Salary_by_gender</vt:lpstr>
      <vt:lpstr>Salary_by_department</vt:lpstr>
      <vt:lpstr>Salary_by_age</vt:lpstr>
      <vt:lpstr>Salary_by_experience</vt:lpstr>
      <vt:lpstr>Dashboard</vt:lpstr>
      <vt:lpstr>Conclusions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Cherednikova</cp:lastModifiedBy>
  <dcterms:created xsi:type="dcterms:W3CDTF">2025-11-27T17:17:34Z</dcterms:created>
  <dcterms:modified xsi:type="dcterms:W3CDTF">2025-12-18T20:42:11Z</dcterms:modified>
</cp:coreProperties>
</file>